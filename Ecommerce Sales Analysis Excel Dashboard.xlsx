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01A86710-0FFC-4DF9-9939-C78F29285046}" xr6:coauthVersionLast="47" xr6:coauthVersionMax="47" xr10:uidLastSave="{00000000-0000-0000-0000-000000000000}"/>
  <bookViews>
    <workbookView xWindow="-108" yWindow="-108" windowWidth="23256" windowHeight="12456" activeTab="7" xr2:uid="{346724B3-1C49-40AE-AA36-C77CF5D6DD09}"/>
  </bookViews>
  <sheets>
    <sheet name="pivot 1" sheetId="6" r:id="rId1"/>
    <sheet name="Pivots" sheetId="5" r:id="rId2"/>
    <sheet name="pivot 3" sheetId="7" r:id="rId3"/>
    <sheet name="Pivot 4" sheetId="8" r:id="rId4"/>
    <sheet name="Pivot 6" sheetId="10" r:id="rId5"/>
    <sheet name="Data" sheetId="1" r:id="rId6"/>
    <sheet name="Questions &amp; KPIs" sheetId="2" r:id="rId7"/>
    <sheet name="Dashboard" sheetId="3" r:id="rId8"/>
  </sheets>
  <definedNames>
    <definedName name="_xlchart.v5.0" hidden="1">Pivots!$J$28:$K$28</definedName>
    <definedName name="_xlchart.v5.1" hidden="1">Pivots!$J$29:$K$86</definedName>
    <definedName name="_xlchart.v5.10" hidden="1">Pivots!$H$28</definedName>
    <definedName name="_xlchart.v5.11" hidden="1">Pivots!$H$29:$H$86</definedName>
    <definedName name="_xlchart.v5.2" hidden="1">Pivots!$L$28</definedName>
    <definedName name="_xlchart.v5.3" hidden="1">Pivots!$L$29:$L$86</definedName>
    <definedName name="_xlchart.v5.4" hidden="1">Pivots!$F$28:$G$28</definedName>
    <definedName name="_xlchart.v5.5" hidden="1">Pivots!$F$29:$G$86</definedName>
    <definedName name="_xlchart.v5.6" hidden="1">Pivots!$H$28</definedName>
    <definedName name="_xlchart.v5.7" hidden="1">Pivots!$H$29:$H$86</definedName>
    <definedName name="_xlchart.v5.8" hidden="1">Pivots!$F$28:$G$28</definedName>
    <definedName name="_xlchart.v5.9" hidden="1">Pivots!$F$29:$G$86</definedName>
    <definedName name="Slicer_Gender_Value">#N/A</definedName>
    <definedName name="Slicer_Order_Mode">#N/A</definedName>
  </definedNames>
  <calcPr calcId="191029"/>
  <pivotCaches>
    <pivotCache cacheId="2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 i="5" l="1" a="1"/>
  <c r="F29" i="5" s="1"/>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<sst xmlns="http://schemas.openxmlformats.org/spreadsheetml/2006/main" count="15491" uniqueCount="2606">
  <si>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</si>
  <si>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</si>
  <si>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</si>
  <si>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</si>
  <si>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</si>
  <si>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</si>
  <si>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</si>
  <si>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</si>
  <si>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</si>
  <si>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</si>
  <si>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</si>
  <si>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</si>
  <si>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</si>
  <si>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</si>
  <si>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</si>
  <si>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</si>
  <si>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</si>
  <si>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</si>
  <si>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</si>
  <si>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</si>
  <si>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</si>
  <si>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</si>
  <si>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</si>
  <si>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</si>
  <si>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</si>
  <si>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</si>
  <si>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</si>
  <si>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</si>
  <si>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</si>
  <si>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</si>
  <si>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</si>
  <si>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</si>
  <si>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</si>
  <si>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</si>
  <si>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</si>
  <si>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</si>
  <si>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</si>
  <si>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</si>
  <si>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</si>
  <si>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</si>
  <si>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</si>
  <si>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</si>
  <si>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</si>
  <si>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</si>
  <si>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</si>
  <si>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</si>
  <si>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</si>
  <si>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</si>
  <si>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</si>
  <si>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</si>
  <si>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</si>
  <si>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</si>
  <si>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</si>
  <si>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</si>
  <si>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</si>
  <si>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</si>
  <si>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</si>
  <si>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</si>
  <si>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</si>
  <si>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</si>
  <si>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</si>
  <si>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</si>
  <si>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</si>
  <si>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</si>
  <si>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</si>
  <si>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</si>
  <si>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</si>
  <si>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</si>
  <si>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</si>
  <si>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</si>
  <si>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</si>
  <si>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</si>
  <si>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</si>
  <si>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</si>
  <si>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</si>
  <si>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</si>
  <si>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</si>
  <si>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</si>
  <si>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</si>
  <si>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</si>
  <si>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</si>
  <si>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</si>
  <si>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</si>
  <si>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</si>
  <si>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</si>
  <si>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</si>
  <si>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</si>
  <si>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</si>
  <si>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</si>
  <si>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</si>
  <si>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</si>
  <si>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</si>
  <si>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</si>
  <si>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</si>
  <si>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</si>
  <si>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</si>
  <si>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</si>
  <si>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</si>
  <si>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</si>
  <si>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</si>
  <si>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</si>
  <si>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</si>
  <si>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</si>
  <si>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</si>
  <si>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</si>
  <si>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</si>
  <si>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</si>
  <si>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</si>
  <si>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</si>
  <si>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</si>
  <si>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</si>
  <si>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</si>
  <si>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</si>
  <si>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</si>
  <si>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</si>
  <si>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</si>
  <si>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</si>
  <si>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</si>
  <si>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</si>
  <si>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</si>
  <si>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</si>
  <si>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</si>
  <si>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</si>
  <si>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</si>
  <si>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</si>
  <si>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</si>
  <si>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</si>
  <si>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</si>
  <si>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</si>
  <si>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</si>
  <si>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</si>
  <si>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</si>
  <si>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</si>
  <si>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</si>
  <si>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</si>
  <si>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</si>
  <si>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</si>
  <si>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</si>
  <si>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</si>
  <si>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</si>
  <si>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</si>
  <si>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</si>
  <si>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</si>
  <si>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</si>
  <si>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</si>
  <si>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</si>
  <si>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</si>
  <si>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</si>
  <si>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</si>
  <si>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</si>
  <si>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</si>
  <si>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</si>
  <si>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</si>
  <si>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</si>
  <si>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</si>
  <si>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</si>
  <si>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</si>
  <si>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</si>
  <si>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</si>
  <si>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</si>
  <si>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</si>
  <si>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</si>
  <si>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</si>
  <si>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</si>
  <si>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</si>
  <si>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</si>
  <si>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</si>
  <si>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</si>
  <si>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</si>
  <si>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</si>
  <si>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</si>
  <si>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</si>
  <si>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</si>
  <si>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</si>
  <si>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</si>
  <si>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</si>
  <si>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</si>
  <si>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</si>
  <si>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</si>
  <si>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</si>
  <si>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</si>
  <si>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</si>
  <si>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</si>
  <si>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</si>
  <si>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</si>
  <si>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</si>
  <si>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</si>
  <si>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</si>
  <si>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</si>
  <si>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</si>
  <si>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</si>
  <si>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</si>
  <si>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</si>
  <si>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</si>
  <si>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</si>
  <si>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</si>
  <si>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</si>
  <si>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</si>
  <si>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</si>
  <si>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</si>
  <si>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</si>
  <si>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</si>
  <si>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</si>
  <si>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</si>
  <si>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</si>
  <si>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</si>
  <si>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</si>
  <si>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</si>
  <si>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</si>
  <si>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</si>
  <si>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</si>
  <si>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</si>
  <si>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</si>
  <si>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</si>
  <si>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</si>
  <si>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</si>
  <si>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</si>
  <si>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</si>
  <si>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</si>
  <si>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</si>
  <si>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</si>
  <si>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</si>
  <si>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</si>
  <si>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</si>
  <si>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</si>
  <si>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</si>
  <si>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</si>
  <si>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</si>
  <si>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</si>
  <si>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</si>
  <si>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</si>
  <si>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</si>
  <si>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</si>
  <si>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</si>
  <si>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</si>
  <si>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</si>
  <si>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</si>
  <si>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</si>
  <si>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</si>
  <si>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</si>
  <si>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</si>
  <si>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</si>
  <si>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</si>
  <si>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</si>
  <si>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</si>
  <si>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</si>
  <si>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</si>
  <si>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</si>
  <si>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</si>
  <si>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</si>
  <si>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</si>
  <si>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</si>
  <si>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</si>
  <si>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</si>
  <si>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</si>
  <si>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</si>
  <si>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</si>
  <si>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</si>
  <si>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</si>
  <si>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</si>
  <si>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</si>
  <si>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</si>
  <si>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</si>
  <si>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</si>
  <si>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</si>
  <si>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</si>
  <si>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</si>
  <si>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</si>
  <si>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</si>
  <si>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</si>
  <si>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</si>
  <si>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</si>
  <si>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</si>
  <si>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</si>
  <si>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</si>
  <si>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</si>
  <si>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</si>
  <si>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</si>
  <si>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</si>
  <si>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</si>
  <si>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</si>
  <si>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</si>
  <si>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</si>
  <si>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</si>
  <si>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</si>
  <si>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</si>
  <si>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</si>
  <si>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</si>
  <si>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</si>
  <si>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</si>
  <si>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</si>
  <si>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</si>
  <si>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</si>
  <si>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</si>
  <si>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</si>
  <si>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</si>
  <si>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</si>
  <si>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</si>
  <si>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</si>
  <si>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</si>
  <si>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</si>
  <si>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</si>
  <si>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</si>
  <si>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</si>
  <si>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</si>
  <si>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</si>
  <si>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</si>
  <si>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</si>
  <si>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</si>
  <si>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</si>
  <si>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</si>
  <si>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</si>
  <si>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</si>
  <si>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</si>
  <si>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</si>
  <si>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</si>
  <si>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</si>
  <si>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</si>
  <si>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</si>
  <si>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</si>
  <si>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</si>
  <si>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</si>
  <si>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</si>
  <si>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</si>
  <si>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</si>
  <si>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</si>
  <si>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</si>
  <si>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</si>
  <si>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</si>
  <si>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</si>
  <si>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</si>
  <si>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</si>
  <si>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</si>
  <si>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</si>
  <si>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</si>
  <si>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</si>
  <si>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</si>
  <si>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</si>
  <si>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</si>
  <si>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</si>
  <si>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</si>
  <si>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</si>
  <si>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</si>
  <si>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</si>
  <si>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</si>
  <si>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</si>
  <si>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</si>
  <si>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</si>
  <si>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</si>
  <si>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</si>
  <si>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</si>
  <si>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</si>
  <si>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</si>
  <si>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</si>
  <si>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</si>
  <si>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</si>
  <si>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</si>
  <si>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</si>
  <si>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</si>
  <si>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</si>
  <si>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</si>
  <si>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</si>
  <si>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</si>
  <si>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</si>
  <si>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</si>
  <si>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</si>
  <si>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</si>
  <si>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</si>
  <si>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</si>
  <si>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</si>
  <si>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</si>
  <si>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</si>
  <si>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</si>
  <si>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</si>
  <si>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</si>
  <si>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</si>
  <si>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</si>
  <si>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</si>
  <si>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</si>
  <si>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</si>
  <si>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</si>
  <si>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</si>
  <si>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</si>
  <si>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</si>
  <si>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</si>
  <si>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</si>
  <si>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</si>
  <si>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</si>
  <si>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</si>
  <si>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</si>
  <si>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</si>
  <si>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</si>
  <si>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</si>
  <si>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</si>
  <si>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</si>
  <si>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</si>
  <si>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</si>
  <si>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</si>
  <si>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</si>
  <si>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</si>
  <si>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</si>
  <si>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</si>
  <si>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</si>
  <si>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</si>
  <si>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</si>
  <si>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</si>
  <si>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</si>
  <si>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</si>
  <si>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</si>
  <si>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</si>
  <si>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</si>
  <si>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</si>
  <si>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</si>
  <si>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</si>
  <si>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</si>
  <si>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</si>
  <si>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</si>
  <si>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</si>
  <si>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</si>
  <si>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</si>
  <si>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</si>
  <si>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</si>
  <si>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</si>
  <si>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</si>
  <si>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</si>
  <si>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</si>
  <si>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</si>
  <si>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</si>
  <si>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</si>
  <si>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</si>
  <si>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</si>
  <si>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</si>
  <si>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</si>
  <si>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</si>
  <si>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</si>
  <si>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</si>
  <si>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</si>
  <si>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</si>
  <si>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</si>
  <si>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</si>
  <si>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</si>
  <si>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</si>
  <si>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</si>
  <si>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</si>
  <si>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</si>
  <si>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</si>
  <si>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</si>
  <si>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</si>
  <si>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</si>
  <si>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</si>
  <si>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</si>
  <si>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</si>
  <si>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</si>
  <si>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</si>
  <si>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</si>
  <si>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</si>
  <si>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</si>
  <si>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</si>
  <si>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</si>
  <si>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</si>
  <si>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</si>
  <si>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</si>
  <si>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</si>
  <si>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</si>
  <si>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</si>
  <si>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</si>
  <si>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</si>
  <si>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</si>
  <si>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</si>
  <si>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</si>
  <si>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</si>
  <si>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</si>
  <si>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</si>
  <si>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</si>
  <si>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</si>
  <si>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</si>
  <si>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</si>
  <si>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</si>
  <si>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</si>
  <si>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</si>
  <si>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</si>
  <si>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</si>
  <si>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</si>
  <si>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</si>
  <si>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</si>
  <si>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</si>
  <si>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</si>
  <si>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</si>
  <si>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</si>
  <si>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</si>
  <si>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</si>
  <si>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</si>
  <si>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</si>
  <si>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</si>
  <si>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</si>
  <si>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</si>
  <si>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</si>
  <si>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</si>
  <si>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</si>
  <si>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</si>
  <si>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</si>
  <si>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</si>
  <si>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</si>
  <si>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</si>
  <si>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</si>
  <si>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</si>
  <si>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</si>
  <si>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</si>
  <si>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</si>
  <si>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</si>
  <si>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</si>
  <si>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</si>
  <si>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</si>
  <si>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</si>
  <si>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</si>
  <si>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</si>
  <si>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</si>
  <si>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</si>
  <si>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</si>
  <si>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</si>
  <si>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</si>
  <si>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</si>
  <si>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</si>
  <si>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</si>
  <si>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</si>
  <si>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</si>
  <si>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</si>
  <si>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</si>
  <si>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</si>
  <si>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</si>
  <si>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</si>
  <si>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</si>
  <si>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</si>
  <si>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</si>
  <si>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</si>
  <si>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</si>
  <si>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</si>
  <si>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</si>
  <si>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</si>
  <si>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</si>
  <si>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</si>
  <si>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</si>
  <si>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</si>
  <si>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</si>
  <si>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</si>
  <si>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</si>
  <si>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</si>
  <si>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</si>
  <si>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</si>
  <si>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</si>
  <si>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</si>
  <si>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</si>
  <si>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</si>
  <si>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</si>
  <si>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</si>
  <si>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</si>
  <si>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</si>
  <si>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</si>
  <si>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</si>
  <si>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</si>
  <si>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</si>
  <si>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</si>
  <si>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</si>
  <si>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</si>
  <si>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</si>
  <si>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</si>
  <si>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</si>
  <si>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</si>
  <si>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</si>
  <si>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</si>
  <si>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</si>
  <si>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</si>
  <si>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</si>
  <si>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</si>
  <si>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</si>
  <si>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</si>
  <si>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</si>
  <si>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</si>
  <si>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</si>
  <si>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</si>
  <si>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</si>
  <si>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</si>
  <si>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</si>
  <si>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</si>
  <si>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</si>
  <si>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</si>
  <si>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</si>
  <si>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</si>
  <si>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</si>
  <si>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</si>
  <si>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</si>
  <si>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</si>
  <si>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</si>
  <si>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</si>
  <si>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</si>
  <si>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</si>
  <si>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</si>
  <si>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</si>
  <si>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</si>
  <si>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</si>
  <si>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</si>
  <si>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</si>
  <si>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</si>
  <si>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</si>
  <si>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</si>
  <si>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</si>
  <si>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</si>
  <si>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</si>
  <si>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</si>
  <si>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</si>
  <si>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</si>
  <si>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</si>
  <si>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</si>
  <si>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</si>
  <si>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</si>
  <si>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</si>
  <si>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</si>
  <si>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</si>
  <si>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</si>
  <si>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</si>
  <si>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</si>
  <si>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</si>
  <si>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</si>
  <si>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</si>
  <si>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</si>
  <si>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</si>
  <si>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</si>
  <si>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</si>
  <si>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</si>
  <si>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</si>
  <si>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</si>
  <si>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</si>
  <si>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</si>
  <si>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</si>
  <si>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</si>
  <si>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</si>
  <si>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</si>
  <si>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</si>
  <si>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</si>
  <si>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</si>
  <si>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</si>
  <si>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</si>
  <si>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</si>
  <si>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</si>
  <si>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</si>
  <si>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</si>
  <si>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</si>
  <si>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</si>
  <si>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</si>
  <si>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</si>
  <si>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</si>
  <si>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</si>
  <si>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</si>
  <si>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</si>
  <si>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</si>
  <si>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</si>
  <si>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</si>
  <si>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</si>
  <si>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</si>
  <si>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</si>
  <si>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</si>
  <si>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</si>
  <si>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</si>
  <si>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</si>
  <si>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</si>
  <si>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</si>
  <si>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</si>
  <si>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</si>
  <si>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</si>
  <si>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</si>
  <si>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</si>
  <si>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</si>
  <si>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</si>
  <si>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</si>
  <si>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</si>
  <si>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</si>
  <si>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</si>
  <si>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</si>
  <si>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</si>
  <si>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</si>
  <si>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</si>
  <si>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</si>
  <si>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</si>
  <si>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</si>
  <si>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</si>
  <si>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</si>
  <si>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</si>
  <si>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</si>
  <si>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</si>
  <si>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</si>
  <si>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</si>
  <si>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</si>
  <si>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</si>
  <si>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</si>
  <si>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</si>
  <si>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</si>
  <si>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</si>
  <si>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</si>
  <si>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</si>
  <si>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</si>
  <si>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</si>
  <si>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</si>
  <si>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</si>
  <si>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</si>
  <si>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</si>
  <si>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</si>
  <si>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</si>
  <si>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</si>
  <si>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</si>
  <si>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</si>
  <si>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</si>
  <si>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</si>
  <si>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</si>
  <si>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</si>
  <si>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</si>
  <si>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</si>
  <si>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</si>
  <si>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</si>
  <si>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</si>
  <si>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</si>
  <si>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</si>
  <si>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</si>
  <si>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</si>
  <si>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</si>
  <si>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</si>
  <si>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</si>
  <si>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</si>
  <si>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</si>
  <si>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</si>
  <si>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</si>
  <si>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</si>
  <si>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</si>
  <si>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</si>
  <si>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</si>
  <si>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</si>
  <si>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</si>
  <si>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</si>
  <si>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</si>
  <si>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</si>
  <si>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</si>
  <si>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</si>
  <si>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</si>
  <si>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</si>
  <si>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</si>
  <si>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</si>
  <si>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</si>
  <si>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</si>
  <si>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</si>
  <si>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</si>
  <si>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</si>
  <si>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</si>
  <si>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</si>
  <si>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</si>
  <si>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</si>
  <si>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</si>
  <si>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</si>
  <si>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</si>
  <si>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</si>
  <si>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</si>
  <si>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</si>
  <si>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</si>
  <si>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</si>
  <si>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</si>
  <si>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</si>
  <si>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</si>
  <si>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</si>
  <si>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</si>
  <si>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</si>
  <si>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</si>
  <si>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</si>
  <si>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</si>
  <si>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</si>
  <si>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</si>
  <si>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</si>
  <si>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</si>
  <si>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</si>
  <si>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</si>
  <si>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</si>
  <si>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</si>
  <si>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</si>
  <si>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</si>
  <si>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</si>
  <si>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</si>
  <si>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</si>
  <si>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</si>
  <si>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</si>
  <si>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</si>
  <si>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</si>
  <si>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</si>
  <si>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</si>
  <si>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</si>
  <si>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</si>
  <si>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</si>
  <si>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</si>
  <si>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</si>
  <si>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</si>
  <si>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</si>
  <si>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</si>
  <si>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</si>
  <si>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</si>
  <si>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</si>
  <si>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</si>
  <si>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</si>
  <si>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</si>
  <si>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</si>
  <si>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</si>
  <si>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</si>
  <si>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</si>
  <si>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</si>
  <si>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</si>
  <si>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</si>
  <si>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</si>
  <si>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</si>
  <si>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</si>
  <si>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</si>
  <si>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</si>
  <si>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</si>
  <si>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</si>
  <si>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</si>
  <si>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</si>
  <si>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</si>
  <si>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</si>
  <si>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</si>
  <si>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</si>
  <si>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</si>
  <si>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</si>
  <si>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</si>
  <si>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</si>
  <si>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</si>
  <si>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</si>
  <si>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</si>
  <si>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</si>
  <si>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</si>
  <si>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</si>
  <si>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</si>
  <si>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</si>
  <si>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</si>
  <si>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</si>
  <si>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</si>
  <si>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</si>
  <si>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</si>
  <si>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</si>
  <si>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</si>
  <si>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</si>
  <si>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</si>
  <si>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</si>
  <si>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</si>
  <si>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</si>
  <si>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</si>
  <si>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</si>
  <si>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</si>
  <si>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</si>
  <si>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</si>
  <si>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</si>
  <si>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</si>
  <si>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</si>
  <si>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</si>
  <si>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</si>
  <si>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</si>
  <si>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</si>
  <si>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</si>
  <si>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</si>
  <si>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</si>
  <si>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</si>
  <si>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</si>
  <si>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</si>
  <si>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</si>
  <si>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</si>
  <si>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</si>
  <si>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</si>
  <si>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</si>
  <si>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</si>
  <si>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</si>
  <si>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</si>
  <si>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</si>
  <si>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</si>
  <si>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</si>
  <si>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</si>
  <si>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</si>
  <si>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</si>
  <si>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</si>
  <si>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</si>
  <si>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</si>
  <si>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</si>
  <si>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</si>
  <si>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</si>
  <si>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</si>
  <si>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</si>
  <si>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</si>
  <si>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</si>
  <si>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</si>
  <si>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</si>
  <si>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</si>
  <si>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</si>
  <si>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</si>
  <si>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</si>
  <si>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</si>
  <si>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</si>
  <si>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</si>
  <si>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</si>
  <si>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</si>
  <si>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</si>
  <si>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</si>
  <si>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</si>
  <si>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</si>
  <si>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</si>
  <si>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</si>
  <si>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</si>
  <si>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</si>
  <si>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</si>
  <si>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</si>
  <si>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</si>
  <si>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</si>
  <si>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</si>
  <si>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</si>
  <si>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</si>
  <si>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</si>
  <si>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</si>
  <si>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</si>
  <si>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</si>
  <si>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</si>
  <si>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</si>
  <si>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</si>
  <si>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</si>
  <si>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</si>
  <si>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</si>
  <si>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</si>
  <si>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</si>
  <si>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</si>
  <si>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</si>
  <si>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</si>
  <si>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</si>
  <si>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</si>
  <si>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</si>
  <si>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</si>
  <si>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</si>
  <si>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</si>
  <si>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</si>
  <si>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</si>
  <si>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</si>
  <si>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</si>
  <si>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</si>
  <si>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</si>
  <si>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</si>
  <si>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</si>
  <si>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</si>
  <si>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</si>
  <si>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</si>
  <si>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</si>
  <si>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</si>
  <si>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</si>
  <si>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</si>
  <si>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</si>
  <si>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</si>
  <si>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</si>
  <si>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</si>
  <si>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</si>
  <si>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</si>
  <si>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</si>
  <si>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</si>
  <si>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</si>
  <si>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</si>
  <si>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</si>
  <si>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</si>
  <si>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</si>
  <si>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</si>
  <si>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</si>
  <si>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</si>
  <si>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</si>
  <si>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</si>
  <si>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</si>
  <si>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</si>
  <si>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</si>
  <si>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</si>
  <si>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</si>
  <si>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</si>
  <si>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</si>
  <si>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</si>
  <si>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</si>
  <si>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</si>
  <si>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</si>
  <si>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</si>
  <si>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</si>
  <si>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</si>
  <si>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</si>
  <si>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</si>
  <si>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</si>
  <si>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</si>
  <si>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</si>
  <si>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</si>
  <si>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</si>
  <si>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</si>
  <si>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</si>
  <si>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</si>
  <si>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</si>
  <si>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</si>
  <si>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</si>
  <si>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</si>
  <si>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</si>
  <si>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</si>
  <si>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</si>
  <si>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</si>
  <si>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</si>
  <si>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</si>
  <si>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</si>
  <si>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</si>
  <si>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</si>
  <si>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</si>
  <si>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</si>
  <si>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</si>
  <si>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</si>
  <si>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</si>
  <si>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</si>
  <si>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</si>
  <si>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</si>
  <si>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</si>
  <si>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</si>
  <si>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</si>
  <si>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</si>
  <si>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</si>
  <si>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</si>
  <si>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</si>
  <si>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</si>
  <si>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</si>
  <si>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</si>
  <si>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</si>
  <si>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</si>
  <si>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</si>
  <si>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</si>
  <si>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</si>
  <si>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</si>
  <si>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</si>
  <si>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</si>
  <si>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</si>
  <si>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</si>
  <si>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</si>
  <si>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</si>
  <si>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</si>
  <si>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</si>
  <si>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</si>
  <si>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</si>
  <si>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</si>
  <si>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</si>
  <si>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</si>
  <si>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</si>
  <si>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</si>
  <si>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</si>
  <si>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</si>
  <si>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</si>
  <si>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</si>
  <si>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</si>
  <si>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</si>
  <si>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</si>
  <si>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</si>
  <si>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</si>
  <si>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</si>
  <si>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</si>
  <si>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</si>
  <si>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</si>
  <si>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</si>
  <si>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</si>
  <si>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</si>
  <si>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</si>
  <si>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</si>
  <si>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</si>
  <si>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</si>
  <si>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</si>
  <si>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</si>
  <si>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</si>
  <si>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</si>
  <si>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</si>
  <si>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</si>
  <si>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</si>
  <si>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</si>
  <si>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</si>
  <si>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</si>
  <si>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</si>
  <si>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</si>
  <si>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</si>
  <si>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</si>
  <si>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</si>
  <si>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</si>
  <si>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</si>
  <si>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</si>
  <si>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</si>
  <si>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</si>
  <si>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</si>
  <si>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</si>
  <si>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</si>
  <si>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</si>
  <si>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</si>
  <si>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</si>
  <si>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</si>
  <si>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</si>
  <si>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</si>
  <si>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</si>
  <si>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</si>
  <si>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</si>
  <si>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</si>
  <si>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</si>
  <si>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</si>
  <si>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</si>
  <si>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</si>
  <si>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</si>
  <si>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</si>
  <si>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</si>
  <si>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</si>
  <si>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</si>
  <si>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</si>
  <si>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</si>
  <si>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</si>
  <si>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</si>
  <si>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</si>
  <si>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</si>
  <si>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</si>
  <si>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</si>
  <si>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</si>
  <si>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</si>
  <si>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</si>
  <si>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</si>
  <si>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</si>
  <si>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</si>
  <si>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</si>
  <si>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</si>
  <si>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</si>
  <si>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</si>
  <si>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</si>
  <si>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</si>
  <si>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</si>
  <si>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</si>
  <si>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</si>
  <si>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</si>
  <si>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</si>
  <si>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</si>
  <si>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</si>
  <si>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</si>
  <si>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</si>
  <si>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</si>
  <si>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</si>
  <si>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</si>
  <si>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</si>
  <si>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</si>
  <si>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</si>
  <si>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</si>
  <si>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</si>
  <si>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</si>
  <si>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</si>
  <si>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</si>
  <si>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</si>
  <si>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</si>
  <si>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</si>
  <si>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</si>
  <si>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</si>
  <si>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</si>
  <si>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</si>
  <si>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</si>
  <si>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</si>
  <si>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</si>
  <si>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</si>
  <si>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</si>
  <si>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</si>
  <si>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</si>
  <si>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</si>
  <si>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</si>
  <si>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</si>
  <si>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</si>
  <si>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</si>
  <si>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</si>
  <si>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</si>
  <si>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</si>
  <si>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</si>
  <si>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</si>
  <si>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</si>
  <si>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</si>
  <si>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</si>
  <si>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</si>
  <si>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</si>
  <si>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</si>
  <si>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</si>
  <si>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</si>
  <si>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</si>
  <si>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</si>
  <si>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</si>
  <si>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</si>
  <si>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</si>
  <si>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</si>
  <si>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</si>
  <si>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</si>
  <si>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</si>
  <si>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</si>
  <si>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</si>
  <si>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</si>
  <si>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</si>
  <si>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</si>
  <si>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</si>
  <si>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</si>
  <si>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</si>
  <si>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</si>
  <si>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</si>
  <si>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</si>
  <si>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</si>
  <si>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</si>
  <si>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</si>
  <si>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</si>
  <si>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</si>
  <si>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</si>
  <si>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</si>
  <si>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</si>
  <si>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</si>
  <si>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</si>
  <si>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</si>
  <si>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</si>
  <si>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</si>
  <si>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</si>
  <si>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</si>
  <si>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</si>
  <si>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</si>
  <si>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</si>
  <si>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</si>
  <si>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</si>
  <si>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</si>
  <si>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</si>
  <si>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</si>
  <si>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</si>
  <si>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</si>
  <si>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</si>
  <si>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</si>
  <si>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</si>
  <si>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</si>
  <si>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</si>
  <si>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</si>
  <si>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</si>
  <si>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</si>
  <si>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</si>
  <si>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</si>
  <si>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</si>
  <si>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</si>
  <si>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</si>
  <si>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</si>
  <si>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</si>
  <si>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</si>
  <si>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</si>
  <si>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</si>
  <si>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</si>
  <si>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</si>
  <si>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</si>
  <si>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</si>
  <si>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</si>
  <si>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</si>
  <si>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</si>
  <si>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</si>
  <si>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</si>
  <si>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</si>
  <si>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</si>
  <si>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</si>
  <si>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</si>
  <si>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</si>
  <si>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</si>
  <si>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</si>
  <si>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</si>
  <si>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</si>
  <si>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</si>
  <si>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</si>
  <si>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</si>
  <si>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</si>
  <si>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</si>
  <si>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</si>
  <si>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</si>
  <si>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</si>
  <si>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</si>
  <si>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</si>
  <si>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</si>
  <si>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</si>
  <si>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</si>
  <si>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</si>
  <si>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</si>
  <si>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</si>
  <si>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</si>
  <si>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</si>
  <si>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</si>
  <si>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</si>
  <si>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</si>
  <si>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</si>
  <si>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</si>
  <si>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</si>
  <si>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</si>
  <si>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</si>
  <si>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</si>
  <si>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</si>
  <si>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</si>
  <si>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</si>
  <si>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</si>
  <si>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</si>
  <si>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</si>
  <si>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</si>
  <si>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</si>
  <si>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</si>
  <si>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</si>
  <si>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</si>
  <si>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</si>
  <si>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</si>
  <si>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</si>
  <si>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</si>
  <si>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</si>
  <si>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</si>
  <si>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</si>
  <si>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</si>
  <si>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</si>
  <si>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</si>
  <si>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</si>
  <si>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</si>
  <si>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</si>
  <si>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</si>
  <si>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</si>
  <si>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</si>
  <si>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</si>
  <si>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</si>
  <si>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</si>
  <si>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</si>
  <si>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</si>
  <si>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</si>
  <si>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</si>
  <si>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</si>
  <si>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</si>
  <si>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</si>
  <si>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</si>
  <si>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</si>
  <si>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</si>
  <si>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</si>
  <si>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</si>
  <si>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</si>
  <si>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</si>
  <si>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</si>
  <si>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</si>
  <si>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</si>
  <si>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</si>
  <si>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</si>
  <si>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</si>
  <si>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</si>
  <si>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</si>
  <si>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</si>
  <si>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</si>
  <si>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</si>
  <si>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</si>
  <si>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</si>
  <si>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</si>
  <si>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</si>
  <si>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</si>
  <si>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</si>
  <si>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</si>
  <si>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</si>
  <si>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</si>
  <si>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</si>
  <si>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</si>
  <si>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</si>
  <si>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</si>
  <si>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</si>
  <si>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</si>
  <si>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</si>
  <si>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</si>
  <si>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</si>
  <si>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</si>
  <si>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</si>
  <si>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</si>
  <si>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</si>
  <si>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</si>
  <si>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</si>
  <si>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</si>
  <si>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</si>
  <si>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</si>
  <si>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</si>
  <si>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</si>
  <si>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</si>
  <si>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</si>
  <si>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</si>
  <si>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</si>
  <si>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</si>
  <si>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</si>
  <si>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</si>
  <si>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</si>
  <si>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</si>
  <si>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</si>
  <si>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</si>
  <si>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</si>
  <si>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</si>
  <si>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</si>
  <si>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</si>
  <si>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</si>
  <si>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</si>
  <si>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</si>
  <si>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</si>
  <si>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</si>
  <si>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</si>
  <si>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</si>
  <si>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</si>
  <si>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</si>
  <si>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</si>
  <si>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</si>
  <si>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</si>
  <si>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</si>
  <si>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</si>
  <si>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</si>
  <si>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</si>
  <si>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</si>
  <si>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</si>
  <si>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</si>
  <si>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</si>
  <si>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</si>
  <si>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</si>
  <si>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</si>
  <si>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</si>
  <si>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</si>
  <si>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</si>
  <si>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</si>
  <si>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</si>
  <si>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</si>
  <si>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</si>
  <si>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</si>
  <si>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</si>
  <si>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</si>
  <si>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</si>
  <si>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</si>
  <si>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</si>
  <si>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</si>
  <si>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</si>
  <si>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</si>
  <si>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</si>
  <si>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</si>
  <si>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</si>
  <si>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</si>
  <si>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</si>
  <si>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</si>
  <si>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</si>
  <si>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</si>
  <si>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</si>
  <si>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</si>
  <si>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</si>
  <si>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</si>
  <si>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</si>
  <si>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</si>
  <si>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</si>
  <si>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</si>
  <si>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</si>
  <si>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</si>
  <si>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</si>
  <si>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</si>
  <si>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</si>
  <si>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</si>
  <si>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</si>
  <si>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</si>
  <si>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</si>
  <si>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</si>
  <si>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</si>
  <si>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</si>
  <si>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</si>
  <si>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</si>
  <si>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</si>
  <si>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</si>
  <si>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</si>
  <si>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</si>
  <si>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</si>
  <si>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</si>
  <si>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</si>
  <si>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</si>
  <si>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</si>
  <si>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</si>
  <si>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</si>
  <si>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</si>
  <si>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</si>
  <si>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</si>
  <si>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</si>
  <si>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</si>
  <si>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</si>
  <si>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</si>
  <si>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</si>
  <si>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</si>
  <si>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</si>
  <si>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</si>
  <si>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</si>
  <si>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</si>
  <si>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</si>
  <si>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</si>
  <si>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</si>
  <si>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</si>
  <si>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</si>
  <si>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</si>
  <si>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</si>
  <si>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</si>
  <si>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</si>
  <si>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</si>
  <si>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</si>
  <si>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</si>
  <si>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</si>
  <si>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</si>
  <si>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</si>
  <si>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</si>
  <si>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</si>
  <si>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</si>
  <si>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</si>
  <si>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</si>
  <si>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</si>
  <si>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</si>
  <si>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</si>
  <si>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</si>
  <si>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</si>
  <si>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</si>
  <si>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</si>
  <si>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</si>
  <si>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</si>
  <si>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</si>
  <si>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</si>
  <si>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</si>
  <si>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</si>
  <si>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</si>
  <si>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</si>
  <si>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</si>
  <si>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</si>
  <si>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</si>
  <si>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</si>
  <si>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</si>
  <si>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</si>
  <si>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</si>
  <si>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</si>
  <si>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</si>
  <si>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</si>
  <si>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</si>
  <si>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</si>
  <si>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</si>
  <si>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</si>
  <si>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</si>
  <si>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</si>
  <si>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</si>
  <si>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</si>
  <si>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</si>
  <si>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</si>
  <si>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</si>
  <si>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</si>
  <si>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</si>
  <si>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</si>
  <si>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</si>
  <si>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</si>
  <si>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</si>
  <si>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</si>
  <si>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</si>
  <si>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</si>
  <si>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</si>
  <si>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</si>
  <si>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</si>
  <si>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</si>
  <si>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</si>
  <si>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</si>
  <si>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</si>
  <si>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</si>
  <si>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</si>
  <si>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</si>
  <si>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</si>
  <si>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</si>
  <si>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</si>
  <si>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</si>
  <si>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</si>
  <si>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</si>
  <si>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</si>
  <si>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</si>
  <si>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</si>
  <si>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</si>
  <si>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</si>
  <si>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</si>
  <si>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</si>
  <si>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</si>
  <si>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</si>
  <si>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</si>
  <si>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</si>
  <si>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</si>
  <si>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</si>
  <si>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</si>
  <si>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</si>
  <si>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</si>
  <si>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</si>
  <si>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</si>
  <si>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</si>
  <si>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</si>
  <si>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</si>
  <si>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</si>
  <si>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</si>
  <si>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</si>
  <si>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</si>
  <si>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</si>
  <si>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</si>
  <si>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</si>
  <si>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</si>
  <si>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</si>
  <si>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</si>
  <si>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</si>
  <si>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</si>
  <si>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</si>
  <si>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</si>
  <si>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</si>
  <si>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</si>
  <si>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</si>
  <si>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</si>
  <si>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</si>
  <si>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</si>
  <si>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</si>
  <si>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</si>
  <si>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</si>
  <si>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</si>
  <si>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</si>
  <si>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</si>
  <si>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</si>
  <si>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</si>
  <si>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</si>
  <si>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</si>
  <si>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</si>
  <si>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</si>
  <si>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</si>
  <si>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</si>
  <si>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</si>
  <si>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</si>
  <si>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</si>
  <si>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</si>
  <si>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</si>
  <si>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</si>
  <si>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</si>
  <si>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</si>
  <si>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</si>
  <si>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</si>
  <si>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</si>
  <si>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</si>
  <si>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</si>
  <si>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</si>
  <si>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</si>
  <si>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</si>
  <si>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</si>
  <si>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</si>
  <si>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</si>
  <si>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</si>
  <si>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</si>
  <si>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</si>
  <si>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</si>
  <si>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</si>
  <si>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</si>
  <si>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</si>
  <si>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</si>
  <si>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</si>
  <si>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</si>
  <si>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</si>
  <si>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</si>
  <si>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</si>
  <si>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</si>
  <si>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</si>
  <si>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</si>
  <si>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</si>
  <si>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</si>
  <si>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</si>
  <si>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</si>
  <si>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</si>
  <si>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</si>
  <si>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</si>
  <si>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</si>
  <si>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</si>
  <si>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</si>
  <si>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</si>
  <si>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</si>
  <si>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</si>
  <si>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</si>
  <si>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</si>
  <si>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</si>
  <si>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</si>
  <si>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</si>
  <si>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</si>
  <si>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</si>
  <si>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</si>
  <si>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</si>
  <si>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</si>
  <si>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</si>
  <si>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</si>
  <si>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</si>
  <si>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</si>
  <si>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</si>
  <si>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</si>
  <si>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</si>
  <si>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</si>
  <si>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</si>
  <si>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</si>
  <si>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</si>
  <si>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</si>
  <si>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</si>
  <si>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</si>
  <si>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</si>
  <si>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</si>
  <si>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</si>
  <si>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</si>
  <si>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</si>
  <si>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</si>
  <si>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</si>
  <si>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</si>
  <si>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</si>
  <si>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</si>
  <si>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</si>
  <si>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</si>
  <si>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</si>
  <si>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</si>
  <si>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</si>
  <si>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</si>
  <si>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</si>
  <si>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</si>
  <si>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</si>
  <si>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</si>
  <si>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</si>
  <si>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</si>
  <si>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</si>
  <si>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</si>
  <si>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</si>
  <si>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</si>
  <si>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</si>
  <si>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</si>
  <si>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</si>
  <si>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</si>
  <si>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</si>
  <si>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</si>
  <si>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</si>
  <si>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</si>
  <si>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</si>
  <si>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</si>
  <si>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</si>
  <si>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</si>
  <si>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</si>
  <si>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</si>
  <si>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</si>
  <si>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</si>
  <si>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</si>
  <si>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</si>
  <si>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</si>
  <si>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</si>
  <si>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</si>
  <si>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</si>
  <si>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</si>
  <si>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</si>
  <si>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</si>
  <si>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</si>
  <si>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</si>
  <si>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</si>
  <si>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</si>
  <si>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</si>
  <si>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</si>
  <si>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</si>
  <si>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</si>
  <si>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</si>
  <si>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</si>
  <si>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</si>
  <si>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</si>
  <si>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</si>
  <si>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</si>
  <si>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</si>
  <si>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</si>
  <si>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</si>
  <si>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</si>
  <si>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</si>
  <si>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</si>
  <si>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</si>
  <si>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</si>
  <si>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</si>
  <si>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</si>
  <si>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</si>
  <si>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</si>
  <si>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</si>
  <si>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</si>
  <si>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</si>
  <si>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</si>
  <si>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</si>
  <si>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</si>
  <si>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</si>
  <si>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</si>
  <si>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</si>
  <si>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</si>
  <si>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</si>
  <si>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</si>
  <si>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</si>
  <si>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</si>
  <si>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</si>
  <si>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</si>
  <si>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</si>
  <si>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</si>
  <si>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</si>
  <si>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</si>
  <si>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</si>
  <si>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</si>
  <si>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</si>
  <si>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</si>
  <si>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</si>
  <si>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</si>
  <si>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</si>
  <si>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</si>
  <si>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</si>
  <si>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</si>
  <si>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</si>
  <si>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</si>
  <si>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</si>
  <si>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</si>
  <si>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</si>
  <si>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</si>
  <si>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</si>
  <si>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</si>
  <si>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</si>
  <si>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</si>
  <si>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</si>
  <si>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</si>
  <si>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</si>
  <si>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</si>
  <si>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</si>
  <si>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</si>
  <si>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</si>
  <si>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</si>
  <si>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</si>
  <si>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</si>
  <si>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</si>
  <si>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</si>
  <si>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</si>
  <si>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</si>
  <si>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</si>
  <si>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</si>
  <si>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</si>
  <si>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</si>
  <si>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</si>
  <si>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</si>
  <si>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</si>
  <si>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</si>
  <si>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</si>
  <si>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</si>
  <si>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</si>
  <si>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</si>
  <si>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</si>
  <si>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</si>
  <si>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</si>
  <si>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</si>
  <si>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</si>
  <si>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</si>
  <si>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</si>
  <si>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</si>
  <si>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</si>
  <si>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</si>
  <si>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</si>
  <si>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</si>
  <si>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</si>
  <si>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</si>
  <si>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</si>
  <si>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</si>
  <si>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</si>
  <si>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</si>
  <si>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</si>
  <si>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</si>
  <si>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</si>
  <si>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</si>
  <si>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</si>
  <si>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</si>
  <si>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</si>
  <si>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</si>
  <si>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</si>
  <si>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</si>
  <si>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</si>
  <si>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</si>
  <si>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</si>
  <si>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</si>
  <si>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</si>
  <si>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</si>
  <si>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</si>
  <si>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</si>
  <si>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</si>
  <si>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</si>
  <si>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</si>
  <si>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</si>
  <si>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</si>
  <si>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</si>
  <si>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</si>
  <si>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</si>
  <si>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</si>
  <si>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</si>
  <si>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</si>
  <si>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</si>
  <si>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</si>
  <si>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</si>
  <si>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</si>
  <si>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</si>
  <si>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</si>
  <si>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</si>
  <si>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</si>
  <si>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</si>
  <si>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</si>
  <si>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</si>
  <si>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</si>
  <si>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</si>
  <si>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</si>
  <si>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</si>
  <si>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</si>
  <si>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</si>
  <si>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</si>
  <si>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</si>
  <si>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</si>
  <si>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</si>
  <si>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</si>
  <si>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</si>
  <si>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</si>
  <si>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</si>
  <si>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</si>
  <si>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</si>
  <si>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</si>
  <si>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</si>
  <si>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</si>
  <si>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</si>
  <si>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</si>
  <si>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</si>
  <si>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</si>
  <si>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</si>
  <si>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</si>
  <si>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</si>
  <si>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</si>
  <si>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</si>
  <si>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</si>
  <si>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</si>
  <si>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</si>
  <si>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</si>
  <si>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</si>
  <si>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</si>
  <si>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</si>
  <si>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</si>
  <si>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</si>
  <si>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</si>
  <si>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</si>
  <si>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</si>
  <si>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</si>
  <si>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</si>
  <si>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</si>
  <si>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</si>
  <si>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</si>
  <si>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</si>
  <si>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</si>
  <si>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</si>
  <si>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</si>
  <si>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</si>
  <si>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</si>
  <si>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</si>
  <si>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</si>
  <si>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</si>
  <si>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</si>
  <si>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</si>
  <si>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</si>
  <si>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</si>
  <si>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</si>
  <si>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</si>
  <si>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</si>
  <si>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</si>
  <si>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</si>
  <si>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</si>
  <si>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</si>
  <si>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</si>
  <si>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</si>
  <si>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</si>
  <si>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</si>
  <si>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</si>
  <si>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</si>
  <si>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</si>
  <si>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</si>
  <si>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</si>
  <si>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</si>
  <si>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</si>
  <si>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</si>
  <si>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</si>
  <si>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</si>
  <si>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</si>
  <si>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</si>
  <si>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</si>
  <si>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</si>
  <si>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</si>
  <si>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</si>
  <si>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</si>
  <si>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</si>
  <si>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</si>
  <si>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</si>
  <si>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</si>
  <si>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</si>
  <si>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</si>
  <si>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</si>
  <si>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</si>
  <si>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</si>
  <si>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</si>
  <si>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</si>
  <si>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</si>
  <si>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</si>
  <si>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</si>
  <si>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</si>
  <si>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</si>
  <si>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</si>
  <si>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</si>
  <si>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</si>
  <si>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</si>
  <si>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</si>
  <si>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</si>
  <si>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</si>
  <si>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</si>
  <si>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</si>
  <si>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</si>
  <si>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</si>
  <si>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</si>
  <si>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</si>
  <si>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</si>
  <si>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</si>
  <si>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</si>
  <si>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</si>
  <si>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</si>
  <si>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</si>
  <si>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</si>
  <si>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</si>
  <si>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</si>
  <si>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</si>
  <si>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</si>
  <si>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</si>
  <si>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</si>
  <si>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</si>
  <si>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</si>
  <si>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</si>
  <si>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</si>
  <si>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</si>
  <si>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</si>
  <si>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</si>
  <si>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</si>
  <si>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</si>
  <si>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</si>
  <si>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</si>
  <si>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</si>
  <si>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</si>
  <si>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</si>
  <si>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</si>
  <si>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</si>
  <si>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</si>
  <si>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</si>
  <si>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</si>
  <si>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</si>
  <si>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</si>
  <si>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</si>
  <si>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</si>
  <si>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</si>
  <si>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</si>
  <si>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</si>
  <si>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</si>
  <si>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</si>
  <si>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</si>
  <si>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</si>
  <si>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</si>
  <si>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</si>
  <si>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</si>
  <si>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</si>
  <si>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</si>
  <si>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</si>
  <si>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</si>
  <si>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</si>
  <si>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</si>
  <si>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</si>
  <si>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</si>
  <si>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</si>
  <si>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</si>
  <si>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</si>
  <si>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</si>
  <si>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</si>
  <si>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</si>
  <si>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</si>
  <si>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</si>
  <si>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</si>
  <si>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</si>
  <si>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</si>
  <si>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</si>
  <si>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</si>
  <si>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</si>
  <si>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</si>
  <si>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</si>
  <si>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</si>
  <si>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</si>
  <si>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</si>
  <si>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</si>
  <si>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</si>
  <si>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</si>
  <si>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</si>
  <si>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</si>
  <si>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</si>
  <si>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</si>
  <si>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</si>
  <si>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</si>
  <si>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</si>
  <si>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</si>
  <si>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</si>
  <si>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</si>
  <si>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</si>
  <si>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</si>
  <si>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</si>
  <si>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</si>
  <si>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</si>
  <si>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</si>
  <si>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</si>
  <si>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</si>
  <si>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</si>
  <si>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</si>
  <si>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</si>
  <si>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</si>
  <si>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</si>
  <si>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</si>
  <si>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</si>
  <si>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</si>
  <si>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</si>
  <si>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</si>
  <si>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</si>
  <si>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</si>
  <si>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</si>
  <si>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</si>
  <si>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</si>
  <si>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</si>
  <si>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</si>
  <si>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</si>
  <si>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</si>
  <si>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</si>
  <si>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</si>
  <si>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</si>
  <si>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</si>
  <si>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</si>
  <si>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</si>
  <si>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</si>
  <si>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</si>
  <si>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</si>
  <si>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</si>
  <si>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</si>
  <si>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</si>
  <si>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</si>
  <si>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</si>
  <si>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</si>
  <si>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</si>
  <si>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</si>
  <si>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</si>
  <si>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</si>
  <si>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</si>
  <si>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</si>
  <si>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</si>
  <si>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</si>
  <si>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</si>
  <si>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</si>
  <si>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</si>
  <si>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</si>
  <si>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</si>
  <si>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</si>
  <si>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</si>
  <si>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</si>
  <si>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</si>
  <si>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</si>
  <si>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</si>
  <si>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</si>
  <si>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</si>
  <si>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</si>
  <si>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</si>
  <si>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</si>
  <si>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</si>
  <si>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</si>
  <si>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</si>
  <si>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</si>
  <si>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</si>
  <si>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</si>
  <si>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</si>
  <si>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</si>
  <si>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</si>
  <si>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</si>
  <si>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</si>
  <si>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</si>
  <si>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</si>
  <si>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</si>
  <si>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</si>
  <si>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</si>
  <si>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</si>
  <si>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</si>
  <si>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</si>
  <si>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</si>
  <si>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</si>
  <si>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</si>
  <si>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</si>
  <si>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</si>
  <si>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</si>
  <si>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</si>
  <si>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</si>
  <si>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</si>
  <si>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</si>
  <si>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</si>
  <si>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</si>
  <si>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</si>
  <si>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</si>
  <si>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</si>
  <si>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</si>
  <si>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</si>
  <si>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</si>
  <si>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</si>
  <si>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</si>
  <si>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</si>
  <si>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</si>
  <si>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</si>
  <si>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</si>
  <si>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</si>
  <si>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</si>
  <si>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</si>
  <si>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</si>
  <si>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</si>
  <si>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</si>
  <si>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</si>
  <si>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</si>
  <si>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</si>
  <si>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</si>
  <si>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</si>
  <si>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</si>
  <si>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</si>
  <si>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</si>
  <si>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</si>
  <si>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</si>
  <si>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</si>
  <si>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</si>
  <si>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</si>
  <si>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</si>
  <si>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</si>
  <si>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</si>
  <si>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</si>
  <si>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</si>
  <si>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</si>
  <si>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</si>
  <si>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</si>
  <si>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</si>
  <si>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</si>
  <si>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</si>
  <si>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</si>
  <si>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</si>
  <si>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</si>
  <si>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</si>
  <si>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</si>
  <si>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</si>
  <si>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</si>
  <si>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</si>
  <si>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</si>
  <si>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</si>
  <si>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</si>
  <si>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</si>
  <si>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</si>
  <si>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</si>
  <si>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</si>
  <si>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</si>
  <si>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</si>
  <si>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</si>
  <si>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</si>
  <si>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</si>
  <si>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</si>
  <si>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</si>
  <si>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</si>
  <si>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</si>
  <si>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</si>
  <si>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</si>
  <si>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</si>
  <si>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</si>
  <si>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</si>
  <si>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</si>
  <si>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</si>
  <si>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</si>
  <si>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</si>
  <si>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</si>
  <si>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</si>
  <si>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</si>
  <si>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</si>
  <si>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</si>
  <si>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</si>
  <si>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</si>
  <si>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</si>
  <si>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</si>
  <si>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</si>
  <si>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</si>
  <si>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</si>
  <si>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</si>
  <si>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</si>
  <si>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</si>
  <si>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</si>
  <si>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</si>
  <si>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</si>
  <si>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</si>
  <si>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</si>
  <si>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</si>
  <si>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</si>
  <si>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</si>
  <si>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</si>
  <si>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</si>
  <si>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</si>
  <si>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</si>
  <si>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</si>
  <si>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</si>
  <si>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</si>
  <si>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</si>
  <si>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</si>
  <si>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</si>
  <si>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</si>
  <si>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</si>
  <si>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</si>
  <si>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</si>
  <si>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</si>
  <si>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</si>
  <si>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</si>
  <si>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</si>
  <si>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</si>
  <si>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</si>
  <si>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</si>
  <si>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</si>
  <si>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</si>
  <si>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</si>
  <si>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</si>
  <si>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</si>
  <si>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</si>
  <si>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</si>
  <si>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</si>
  <si>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</si>
  <si>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</si>
  <si>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</si>
  <si>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</si>
  <si>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</si>
  <si>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</si>
  <si>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</si>
  <si>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</si>
  <si>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</si>
  <si>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</si>
  <si>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</si>
  <si>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</si>
  <si>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</si>
  <si>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</si>
  <si>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</si>
  <si>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</si>
  <si>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</si>
  <si>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</si>
  <si>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</si>
  <si>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</si>
  <si>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</si>
  <si>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</si>
  <si>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</si>
  <si>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</si>
  <si>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</si>
  <si>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</si>
  <si>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</si>
  <si>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</si>
  <si>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</si>
  <si>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</si>
  <si>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</si>
  <si>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</si>
  <si>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</si>
  <si>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</si>
  <si>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</si>
  <si>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</si>
  <si>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</si>
  <si>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</si>
  <si>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</si>
  <si>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</si>
  <si>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</si>
  <si>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</si>
  <si>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</si>
  <si>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</si>
  <si>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</si>
  <si>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</si>
  <si>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</si>
  <si>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</si>
  <si>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</si>
  <si>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</si>
  <si>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</si>
  <si>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</si>
  <si>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</si>
  <si>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</si>
  <si>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</si>
  <si>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</si>
  <si>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</si>
  <si>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</si>
  <si>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</si>
  <si>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</si>
  <si>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</si>
  <si>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</si>
  <si>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</si>
  <si>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</si>
  <si>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</si>
  <si>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</si>
  <si>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</si>
  <si>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</si>
  <si>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</si>
  <si>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</si>
  <si>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</si>
  <si>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</si>
  <si>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</si>
  <si>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</si>
  <si>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</si>
  <si>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</si>
  <si>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</si>
  <si>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</si>
  <si>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</si>
  <si>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</si>
  <si>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</si>
  <si>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</si>
  <si>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</si>
  <si>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</si>
  <si>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</si>
  <si>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</si>
  <si>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</si>
  <si>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</si>
  <si>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</si>
  <si>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</si>
  <si>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</si>
  <si>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</si>
  <si>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</si>
  <si>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</si>
  <si>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</si>
  <si>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</si>
  <si>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</si>
  <si>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</si>
  <si>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</si>
  <si>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</si>
  <si>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</si>
  <si>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</si>
  <si>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</si>
  <si>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</si>
  <si>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</si>
  <si>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</si>
  <si>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</si>
  <si>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</si>
  <si>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</si>
  <si>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</si>
  <si>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</si>
  <si>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</si>
  <si>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</si>
  <si>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</si>
  <si>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</si>
  <si>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</si>
  <si>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</si>
  <si>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</si>
  <si>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</si>
  <si>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</si>
  <si>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</si>
  <si>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</si>
  <si>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</si>
  <si>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</si>
  <si>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</si>
  <si>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</si>
  <si>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</si>
  <si>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</si>
  <si>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</si>
  <si>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</si>
  <si>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</si>
  <si>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</si>
  <si>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</si>
  <si>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</si>
  <si>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</si>
  <si>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</si>
  <si>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</si>
  <si>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</si>
  <si>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</si>
  <si>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</si>
  <si>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</si>
  <si>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</si>
  <si>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</si>
  <si>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</si>
  <si>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</si>
  <si>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</si>
  <si>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</si>
  <si>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</si>
  <si>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</si>
  <si>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</si>
  <si>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</si>
  <si>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</si>
  <si>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</si>
  <si>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</si>
  <si>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</si>
  <si>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</si>
  <si>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</si>
  <si>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</si>
  <si>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</si>
  <si>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</si>
  <si>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</si>
  <si>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</si>
  <si>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</si>
  <si>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</si>
  <si>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</si>
  <si>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</si>
  <si>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</si>
  <si>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</si>
  <si>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</si>
  <si>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</si>
  <si>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</si>
  <si>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</si>
  <si>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</si>
  <si>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</si>
  <si>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</si>
  <si>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</si>
  <si>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</si>
  <si>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</si>
  <si>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</si>
  <si>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</si>
  <si>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</si>
  <si>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</si>
  <si>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</si>
  <si>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</si>
  <si>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</si>
  <si>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</si>
  <si>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</si>
  <si>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</si>
  <si>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</si>
  <si>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</si>
  <si>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</si>
  <si>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</si>
  <si>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</si>
  <si>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</si>
  <si>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</si>
  <si>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</si>
  <si>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</si>
  <si>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</si>
  <si>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</si>
  <si>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</si>
  <si>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</si>
  <si>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</si>
  <si>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</si>
  <si>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</si>
  <si>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</si>
  <si>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</si>
  <si>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</si>
  <si>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</si>
  <si>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</si>
  <si>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</si>
  <si>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ORDERS</t>
  </si>
  <si>
    <t>QTY</t>
  </si>
  <si>
    <t>AMOUNT</t>
  </si>
  <si>
    <t>AVG. RATING</t>
  </si>
  <si>
    <t>AVG. DAYS</t>
  </si>
  <si>
    <t>Row Labels</t>
  </si>
  <si>
    <t>Grand Total</t>
  </si>
  <si>
    <t>Unknown</t>
  </si>
  <si>
    <t>Male</t>
  </si>
  <si>
    <t>Female</t>
  </si>
  <si>
    <t>Other</t>
  </si>
  <si>
    <t>Column Labels</t>
  </si>
  <si>
    <t>FOR MATRIX</t>
  </si>
  <si>
    <t>6 TO 10</t>
  </si>
  <si>
    <t>MORE THAN 10</t>
  </si>
  <si>
    <t>GEOGRAPHICAL ANALYSIS</t>
  </si>
  <si>
    <t>Sum Of Quantity</t>
  </si>
  <si>
    <t>MAP CHART STUFF(QTY)</t>
  </si>
  <si>
    <t>MAP CHART STUFF(AMOUNT)</t>
  </si>
  <si>
    <t xml:space="preserve">Alameda  </t>
  </si>
  <si>
    <t xml:space="preserve">Alpine  </t>
  </si>
  <si>
    <t xml:space="preserve">Amador  </t>
  </si>
  <si>
    <t xml:space="preserve">Butte  </t>
  </si>
  <si>
    <t xml:space="preserve">Calaveras  </t>
  </si>
  <si>
    <t xml:space="preserve">Colusa  </t>
  </si>
  <si>
    <t xml:space="preserve">Contra Costa  </t>
  </si>
  <si>
    <t xml:space="preserve">Del Norte  </t>
  </si>
  <si>
    <t xml:space="preserve">El Dorado  </t>
  </si>
  <si>
    <t xml:space="preserve">Fresno  </t>
  </si>
  <si>
    <t xml:space="preserve">Glenn  </t>
  </si>
  <si>
    <t xml:space="preserve">Humboldt  </t>
  </si>
  <si>
    <t xml:space="preserve">Imperial  </t>
  </si>
  <si>
    <t xml:space="preserve">Inyo  </t>
  </si>
  <si>
    <t xml:space="preserve">Kern  </t>
  </si>
  <si>
    <t xml:space="preserve">Kings  </t>
  </si>
  <si>
    <t xml:space="preserve">Lake  </t>
  </si>
  <si>
    <t xml:space="preserve">Lassen  </t>
  </si>
  <si>
    <t xml:space="preserve">Los Angeles  </t>
  </si>
  <si>
    <t xml:space="preserve">Madera  </t>
  </si>
  <si>
    <t xml:space="preserve">Marin  </t>
  </si>
  <si>
    <t xml:space="preserve">Mariposa  </t>
  </si>
  <si>
    <t xml:space="preserve">Mendocino  </t>
  </si>
  <si>
    <t xml:space="preserve">Merced  </t>
  </si>
  <si>
    <t xml:space="preserve">Modoc  </t>
  </si>
  <si>
    <t xml:space="preserve">Mono  </t>
  </si>
  <si>
    <t xml:space="preserve">Monterey  </t>
  </si>
  <si>
    <t xml:space="preserve">Napa  </t>
  </si>
  <si>
    <t xml:space="preserve">Nevada  </t>
  </si>
  <si>
    <t xml:space="preserve">Orange  </t>
  </si>
  <si>
    <t xml:space="preserve">Placer  </t>
  </si>
  <si>
    <t xml:space="preserve">Plumas  </t>
  </si>
  <si>
    <t xml:space="preserve">Riverside  </t>
  </si>
  <si>
    <t xml:space="preserve">Sacramento  </t>
  </si>
  <si>
    <t xml:space="preserve">San Benito  </t>
  </si>
  <si>
    <t xml:space="preserve">San Bernardino  </t>
  </si>
  <si>
    <t xml:space="preserve">San Diego  </t>
  </si>
  <si>
    <t xml:space="preserve">San Joaquin  </t>
  </si>
  <si>
    <t xml:space="preserve">San Luis Obispo  </t>
  </si>
  <si>
    <t xml:space="preserve">San Mateo  </t>
  </si>
  <si>
    <t xml:space="preserve">Santa Barbara  </t>
  </si>
  <si>
    <t xml:space="preserve">Santa Clara  </t>
  </si>
  <si>
    <t xml:space="preserve">Santa Cruz  </t>
  </si>
  <si>
    <t xml:space="preserve">Shasta  </t>
  </si>
  <si>
    <t xml:space="preserve">Sierra  </t>
  </si>
  <si>
    <t xml:space="preserve">Siskiyou  </t>
  </si>
  <si>
    <t xml:space="preserve">Solano  </t>
  </si>
  <si>
    <t xml:space="preserve">Sonoma  </t>
  </si>
  <si>
    <t xml:space="preserve">Stanislaus  </t>
  </si>
  <si>
    <t xml:space="preserve">Sutter  </t>
  </si>
  <si>
    <t xml:space="preserve">Tehama  </t>
  </si>
  <si>
    <t xml:space="preserve">Trinity  </t>
  </si>
  <si>
    <t xml:space="preserve">Tulare  </t>
  </si>
  <si>
    <t xml:space="preserve">Tuolumne  </t>
  </si>
  <si>
    <t xml:space="preserve">Ventura  </t>
  </si>
  <si>
    <t xml:space="preserve">Yolo  </t>
  </si>
  <si>
    <t xml:space="preserve">Yuba  </t>
  </si>
  <si>
    <t xml:space="preserve"> county</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</si>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</sst>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9">
    <font>
      <sz val="11"/>
      <color theme="1"/>
      <name val="Aptos Narrow"/>
      <family val="2"/>
      <scheme val="minor"/>
    </font>
    <font>
      <b/>
      <sz val="11"/>
      <color theme="1"/>
      <name val="Aptos Narrow"/>
      <family val="2"/>
      <scheme val="minor"/>
    </font>
    <font>
      <b/>
      <sz val="11"/>
      <color theme="1"/>
      <name val="Aptos Narrow"/>
      <scheme val="minor"/>
    </font>
    <font>
      <b/>
      <sz val="11"/>
      <color theme="0"/>
      <name val="Aptos Narrow"/>
      <scheme val="minor"/>
    </font>
    <font>
      <b/>
      <sz val="11"/>
      <color theme="6" tint="-0.249977111117893"/>
      <name val="Aptos Narrow"/>
      <scheme val="minor"/>
    </font>
    <font>
      <b/>
      <sz val="11"/>
      <color theme="6" tint="-0.249977111117893"/>
      <name val="Aptos Narrow"/>
      <family val="2"/>
      <scheme val="minor"/>
    </font>
    <font>
      <b/>
      <sz val="11"/>
      <color theme="3" tint="0.249977111117893"/>
      <name val="Aptos Narrow"/>
      <scheme val="minor"/>
    </font>
    <font>
      <sz val="11"/>
      <color theme="1"/>
      <name val="Aptos Narrow"/>
      <scheme val="minor"/>
    </font>
    <font>
      <b/>
      <sz val="11"/>
      <color theme="7" tint="-0.499984740745262"/>
      <name val="Aptos Narrow"/>
      <scheme val="minor"/>
    </font>
  </fonts>
  <fills count="8">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0"/>
        <bgColor indexed="64"/>
      </patternFill>
    </fill>
  </fills>
  <borders count="11">
    <border>
      <left/>
      <right/>
      <top/>
      <bottom/>
      <diagonal/>
    </border>
    <border>
      <left/>
      <right/>
      <top/>
      <bottom style="thin">
        <color theme="4" tint="0.39997558519241921"/>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3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2" fillId="0" borderId="0" xfId="0" applyFont="1"/>
    <xf numFmtId="0" fontId="3" fillId="4" borderId="0" xfId="0" applyFont="1" applyFill="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0" fontId="0" fillId="0" borderId="0" xfId="0" applyNumberFormat="1"/>
    <xf numFmtId="165" fontId="0" fillId="0" borderId="6" xfId="0" applyNumberFormat="1" applyBorder="1"/>
    <xf numFmtId="165" fontId="0" fillId="0" borderId="7" xfId="0" applyNumberFormat="1" applyBorder="1"/>
    <xf numFmtId="165" fontId="0" fillId="0" borderId="9" xfId="0" applyNumberFormat="1" applyBorder="1"/>
    <xf numFmtId="165" fontId="0" fillId="0" borderId="10" xfId="0" applyNumberFormat="1" applyBorder="1"/>
    <xf numFmtId="0" fontId="0" fillId="5" borderId="2" xfId="0" applyFill="1" applyBorder="1"/>
    <xf numFmtId="0" fontId="4" fillId="5" borderId="5" xfId="0" applyFont="1" applyFill="1" applyBorder="1" applyAlignment="1">
      <alignment horizontal="left"/>
    </xf>
    <xf numFmtId="0" fontId="4" fillId="5" borderId="8" xfId="0" applyFont="1" applyFill="1" applyBorder="1" applyAlignment="1">
      <alignment horizontal="left"/>
    </xf>
    <xf numFmtId="0" fontId="5" fillId="3" borderId="3" xfId="0" applyFont="1" applyFill="1" applyBorder="1"/>
    <xf numFmtId="0" fontId="5" fillId="3" borderId="4" xfId="0" applyFont="1" applyFill="1" applyBorder="1"/>
    <xf numFmtId="0" fontId="6" fillId="6" borderId="0" xfId="0" applyFont="1" applyFill="1"/>
    <xf numFmtId="0" fontId="1" fillId="0" borderId="0" xfId="0" applyFont="1"/>
    <xf numFmtId="0" fontId="1" fillId="0" borderId="1" xfId="0" applyFont="1" applyBorder="1"/>
    <xf numFmtId="0" fontId="2" fillId="6" borderId="0" xfId="0" applyFont="1" applyFill="1"/>
    <xf numFmtId="0" fontId="7" fillId="0" borderId="0" xfId="0" applyFont="1"/>
    <xf numFmtId="0" fontId="7" fillId="0" borderId="1" xfId="0" applyFont="1" applyBorder="1"/>
    <xf numFmtId="1" fontId="0" fillId="0" borderId="0" xfId="0" applyNumberFormat="1"/>
    <xf numFmtId="0" fontId="2" fillId="7" borderId="0" xfId="0" applyFont="1" applyFill="1"/>
    <xf numFmtId="0" fontId="8" fillId="0" borderId="0" xfId="0" applyFont="1"/>
  </cellXfs>
  <cellStyles count="1">
    <cellStyle name="Normal" xfId="0" builtinId="0"/>
  </cellStyles>
  <dxfs count="11">
    <dxf>
      <numFmt numFmtId="164" formatCode="&quot;$&quot;#,##0"/>
    </dxf>
    <dxf>
      <numFmt numFmtId="164" formatCode="&quot;$&quot;#,##0"/>
    </dxf>
    <dxf>
      <numFmt numFmtId="164" formatCode="&quot;$&quot;#,##0"/>
    </dxf>
    <dxf>
      <numFmt numFmtId="164" formatCode="&quot;$&quot;#,##0"/>
    </dxf>
    <dxf>
      <numFmt numFmtId="19" formatCode="m/d/yyyy"/>
    </dxf>
    <dxf>
      <numFmt numFmtId="19" formatCode="m/d/yyyy"/>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CE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Dashboard.xlsx]Pivots!TREND ANALYSIS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latin typeface="Arial Narrow" panose="020B0606020202030204" pitchFamily="34" charset="0"/>
              </a:rPr>
              <a:t>LAST</a:t>
            </a:r>
            <a:r>
              <a:rPr lang="en-US" b="1" baseline="0">
                <a:solidFill>
                  <a:schemeClr val="accent1">
                    <a:lumMod val="50000"/>
                  </a:schemeClr>
                </a:solidFill>
                <a:latin typeface="Arial Narrow" panose="020B0606020202030204" pitchFamily="34" charset="0"/>
              </a:rPr>
              <a:t> 13 WEEK TRENDS - QTY VS. AMOUNT</a:t>
            </a:r>
            <a:endParaRPr lang="en-US" b="1">
              <a:solidFill>
                <a:schemeClr val="accent1">
                  <a:lumMod val="50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A2A-4DDF-999F-CBBE0BFC3A8B}"/>
            </c:ext>
          </c:extLst>
        </c:ser>
        <c:dLbls>
          <c:showLegendKey val="0"/>
          <c:showVal val="0"/>
          <c:showCatName val="0"/>
          <c:showSerName val="0"/>
          <c:showPercent val="0"/>
          <c:showBubbleSize val="0"/>
        </c:dLbls>
        <c:marker val="1"/>
        <c:smooth val="0"/>
        <c:axId val="481246672"/>
        <c:axId val="481247000"/>
      </c:lineChart>
      <c:lineChart>
        <c:grouping val="standard"/>
        <c:varyColors val="0"/>
        <c:ser>
          <c:idx val="1"/>
          <c:order val="1"/>
          <c:tx>
            <c:strRef>
              <c:f>Pivots!$C$10</c:f>
              <c:strCache>
                <c:ptCount val="1"/>
                <c:pt idx="0">
                  <c:v>Sum of Amount</c:v>
                </c:pt>
              </c:strCache>
            </c:strRef>
          </c:tx>
          <c:spPr>
            <a:ln w="28575" cap="rnd">
              <a:solidFill>
                <a:schemeClr val="accent2"/>
              </a:solidFill>
              <a:round/>
            </a:ln>
            <a:effectLst/>
          </c:spPr>
          <c:marker>
            <c:symbol val="none"/>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A2A-4DDF-999F-CBBE0BFC3A8B}"/>
            </c:ext>
          </c:extLst>
        </c:ser>
        <c:dLbls>
          <c:showLegendKey val="0"/>
          <c:showVal val="0"/>
          <c:showCatName val="0"/>
          <c:showSerName val="0"/>
          <c:showPercent val="0"/>
          <c:showBubbleSize val="0"/>
        </c:dLbls>
        <c:marker val="1"/>
        <c:smooth val="0"/>
        <c:axId val="551044856"/>
        <c:axId val="551044528"/>
      </c:lineChart>
      <c:catAx>
        <c:axId val="4812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47000"/>
        <c:crosses val="autoZero"/>
        <c:auto val="1"/>
        <c:lblAlgn val="ctr"/>
        <c:lblOffset val="100"/>
        <c:noMultiLvlLbl val="0"/>
      </c:catAx>
      <c:valAx>
        <c:axId val="481247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46672"/>
        <c:crosses val="autoZero"/>
        <c:crossBetween val="between"/>
      </c:valAx>
      <c:valAx>
        <c:axId val="55104452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44856"/>
        <c:crosses val="max"/>
        <c:crossBetween val="between"/>
      </c:valAx>
      <c:catAx>
        <c:axId val="551044856"/>
        <c:scaling>
          <c:orientation val="minMax"/>
        </c:scaling>
        <c:delete val="1"/>
        <c:axPos val="b"/>
        <c:numFmt formatCode="General" sourceLinked="1"/>
        <c:majorTickMark val="out"/>
        <c:minorTickMark val="none"/>
        <c:tickLblPos val="nextTo"/>
        <c:crossAx val="55104452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Excel Dashboard.xlsx]Pivot 4!ORDER QUANTITY ANALYSIS</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accent1">
                    <a:lumMod val="50000"/>
                  </a:schemeClr>
                </a:solidFill>
                <a:latin typeface="Arial Narrow" panose="020B0606020202030204" pitchFamily="34" charset="0"/>
              </a:rPr>
              <a:t>HOW</a:t>
            </a:r>
            <a:r>
              <a:rPr lang="en-US" sz="1400" baseline="0">
                <a:solidFill>
                  <a:schemeClr val="accent1">
                    <a:lumMod val="50000"/>
                  </a:schemeClr>
                </a:solidFill>
                <a:latin typeface="Arial Narrow" panose="020B0606020202030204" pitchFamily="34" charset="0"/>
              </a:rPr>
              <a:t> MANY THEY BUY?</a:t>
            </a:r>
            <a:endParaRPr lang="en-US" sz="1400">
              <a:solidFill>
                <a:schemeClr val="accent1">
                  <a:lumMod val="50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4'!$A$4:$A$11</c:f>
              <c:strCache>
                <c:ptCount val="7"/>
                <c:pt idx="0">
                  <c:v>1</c:v>
                </c:pt>
                <c:pt idx="1">
                  <c:v>2</c:v>
                </c:pt>
                <c:pt idx="2">
                  <c:v>3</c:v>
                </c:pt>
                <c:pt idx="3">
                  <c:v>4</c:v>
                </c:pt>
                <c:pt idx="4">
                  <c:v>5</c:v>
                </c:pt>
                <c:pt idx="5">
                  <c:v>6 TO 10</c:v>
                </c:pt>
                <c:pt idx="6">
                  <c:v>MORE THAN 10</c:v>
                </c:pt>
              </c:strCache>
            </c:strRef>
          </c:cat>
          <c:val>
            <c:numRef>
              <c:f>'Pivot 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625-4116-A35F-6C98B91D8338}"/>
            </c:ext>
          </c:extLst>
        </c:ser>
        <c:dLbls>
          <c:showLegendKey val="0"/>
          <c:showVal val="0"/>
          <c:showCatName val="0"/>
          <c:showSerName val="0"/>
          <c:showPercent val="0"/>
          <c:showBubbleSize val="0"/>
        </c:dLbls>
        <c:gapWidth val="0"/>
        <c:overlap val="-70"/>
        <c:axId val="551035344"/>
        <c:axId val="551039608"/>
      </c:barChart>
      <c:catAx>
        <c:axId val="5510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39608"/>
        <c:crosses val="autoZero"/>
        <c:auto val="1"/>
        <c:lblAlgn val="ctr"/>
        <c:lblOffset val="100"/>
        <c:noMultiLvlLbl val="0"/>
      </c:catAx>
      <c:valAx>
        <c:axId val="5510396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3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Dashboard.xlsx]Pivot 4!PRODUCT SUMMARY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WHICH</a:t>
            </a:r>
            <a:r>
              <a:rPr lang="en-US" b="1" baseline="0">
                <a:latin typeface="Arial Narrow" panose="020B0606020202030204" pitchFamily="34" charset="0"/>
              </a:rPr>
              <a:t> PRODUCTS ARE POPULAR? </a:t>
            </a:r>
            <a:r>
              <a:rPr lang="en-US" baseline="0"/>
              <a:t>- </a:t>
            </a:r>
            <a:r>
              <a:rPr lang="en-US" baseline="0">
                <a:latin typeface="Arial Narrow" panose="020B0606020202030204" pitchFamily="34" charset="0"/>
              </a:rPr>
              <a:t>BREAKDOWN BY GENDER</a:t>
            </a:r>
            <a:endParaRPr lang="en-US">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4'!$B$13:$B$14</c:f>
              <c:strCache>
                <c:ptCount val="1"/>
                <c:pt idx="0">
                  <c:v>Female</c:v>
                </c:pt>
              </c:strCache>
            </c:strRef>
          </c:tx>
          <c:spPr>
            <a:solidFill>
              <a:schemeClr val="accent1"/>
            </a:solidFill>
            <a:ln>
              <a:noFill/>
            </a:ln>
            <a:effectLst/>
          </c:spPr>
          <c:invertIfNegative val="0"/>
          <c:cat>
            <c:strRef>
              <c:f>'Pivot 4'!$A$15:$A$35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4'!$B$15:$B$35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D86-44B3-B0E6-C2E617F95662}"/>
            </c:ext>
          </c:extLst>
        </c:ser>
        <c:ser>
          <c:idx val="1"/>
          <c:order val="1"/>
          <c:tx>
            <c:strRef>
              <c:f>'Pivot 4'!$C$13:$C$14</c:f>
              <c:strCache>
                <c:ptCount val="1"/>
                <c:pt idx="0">
                  <c:v>Male</c:v>
                </c:pt>
              </c:strCache>
            </c:strRef>
          </c:tx>
          <c:spPr>
            <a:solidFill>
              <a:schemeClr val="accent2"/>
            </a:solidFill>
            <a:ln>
              <a:noFill/>
            </a:ln>
            <a:effectLst/>
          </c:spPr>
          <c:invertIfNegative val="0"/>
          <c:cat>
            <c:strRef>
              <c:f>'Pivot 4'!$A$15:$A$35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4'!$C$15:$C$35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D86-44B3-B0E6-C2E617F95662}"/>
            </c:ext>
          </c:extLst>
        </c:ser>
        <c:ser>
          <c:idx val="2"/>
          <c:order val="2"/>
          <c:tx>
            <c:strRef>
              <c:f>'Pivot 4'!$D$13:$D$14</c:f>
              <c:strCache>
                <c:ptCount val="1"/>
                <c:pt idx="0">
                  <c:v>Other</c:v>
                </c:pt>
              </c:strCache>
            </c:strRef>
          </c:tx>
          <c:spPr>
            <a:solidFill>
              <a:schemeClr val="accent3"/>
            </a:solidFill>
            <a:ln>
              <a:noFill/>
            </a:ln>
            <a:effectLst/>
          </c:spPr>
          <c:invertIfNegative val="0"/>
          <c:cat>
            <c:strRef>
              <c:f>'Pivot 4'!$A$15:$A$35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4'!$D$15:$D$35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D86-44B3-B0E6-C2E617F95662}"/>
            </c:ext>
          </c:extLst>
        </c:ser>
        <c:ser>
          <c:idx val="3"/>
          <c:order val="3"/>
          <c:tx>
            <c:strRef>
              <c:f>'Pivot 4'!$E$13:$E$14</c:f>
              <c:strCache>
                <c:ptCount val="1"/>
                <c:pt idx="0">
                  <c:v>Unknown</c:v>
                </c:pt>
              </c:strCache>
            </c:strRef>
          </c:tx>
          <c:spPr>
            <a:solidFill>
              <a:schemeClr val="accent4"/>
            </a:solidFill>
            <a:ln>
              <a:noFill/>
            </a:ln>
            <a:effectLst/>
          </c:spPr>
          <c:invertIfNegative val="0"/>
          <c:cat>
            <c:strRef>
              <c:f>'Pivot 4'!$A$15:$A$35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4'!$E$15:$E$35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D86-44B3-B0E6-C2E617F95662}"/>
            </c:ext>
          </c:extLst>
        </c:ser>
        <c:dLbls>
          <c:showLegendKey val="0"/>
          <c:showVal val="0"/>
          <c:showCatName val="0"/>
          <c:showSerName val="0"/>
          <c:showPercent val="0"/>
          <c:showBubbleSize val="0"/>
        </c:dLbls>
        <c:gapWidth val="8"/>
        <c:overlap val="100"/>
        <c:axId val="548147160"/>
        <c:axId val="548145848"/>
      </c:barChart>
      <c:catAx>
        <c:axId val="54814716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45848"/>
        <c:crosses val="autoZero"/>
        <c:auto val="1"/>
        <c:lblAlgn val="ctr"/>
        <c:lblOffset val="100"/>
        <c:noMultiLvlLbl val="0"/>
      </c:catAx>
      <c:valAx>
        <c:axId val="54814584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47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Dashboard.xlsx]Pivot 4!PivotTable6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080671619676561"/>
              <c:y val="0.2804490334140925"/>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720591144699878"/>
                  <c:h val="0.34957142857142859"/>
                </c:manualLayout>
              </c15:layout>
            </c:ext>
          </c:extLst>
        </c:dLbl>
      </c:pivotFmt>
      <c:pivotFmt>
        <c:idx val="8"/>
        <c:spPr>
          <a:solidFill>
            <a:schemeClr val="accent1"/>
          </a:solidFill>
          <a:ln w="19050">
            <a:solidFill>
              <a:schemeClr val="lt1"/>
            </a:solidFill>
          </a:ln>
          <a:effectLst/>
        </c:spPr>
        <c:dLbl>
          <c:idx val="0"/>
          <c:layout>
            <c:manualLayout>
              <c:x val="-6.7204301075268813E-2"/>
              <c:y val="0.23237179487179488"/>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161290322580649"/>
              <c:y val="-8.0128205128205149E-2"/>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5282258064516125"/>
              <c:y val="-6.4102564102564097E-2"/>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3820538057742783"/>
                  <c:h val="0.37612179487179487"/>
                </c:manualLayout>
              </c15:layout>
            </c:ext>
          </c:extLst>
        </c:dLbl>
      </c:pivotFmt>
    </c:pivotFmts>
    <c:plotArea>
      <c:layout>
        <c:manualLayout>
          <c:layoutTarget val="inner"/>
          <c:xMode val="edge"/>
          <c:yMode val="edge"/>
          <c:x val="0.22060049953433239"/>
          <c:y val="0.21634615384615385"/>
          <c:w val="0.543010752688172"/>
          <c:h val="0.64743589743589747"/>
        </c:manualLayout>
      </c:layout>
      <c:doughnutChart>
        <c:varyColors val="1"/>
        <c:ser>
          <c:idx val="0"/>
          <c:order val="0"/>
          <c:tx>
            <c:strRef>
              <c:f>'Pivot 4'!$K$13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0F-4F9D-A89C-26E1C62FB9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0F-4F9D-A89C-26E1C62FB9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0F-4F9D-A89C-26E1C62FB9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0F-4F9D-A89C-26E1C62FB9A7}"/>
              </c:ext>
            </c:extLst>
          </c:dPt>
          <c:dLbls>
            <c:dLbl>
              <c:idx val="0"/>
              <c:layout>
                <c:manualLayout>
                  <c:x val="0.10080671619676561"/>
                  <c:y val="0.2804490334140925"/>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720591144699878"/>
                      <c:h val="0.34957142857142859"/>
                    </c:manualLayout>
                  </c15:layout>
                </c:ext>
                <c:ext xmlns:c16="http://schemas.microsoft.com/office/drawing/2014/chart" uri="{C3380CC4-5D6E-409C-BE32-E72D297353CC}">
                  <c16:uniqueId val="{00000001-8C0F-4F9D-A89C-26E1C62FB9A7}"/>
                </c:ext>
              </c:extLst>
            </c:dLbl>
            <c:dLbl>
              <c:idx val="1"/>
              <c:layout>
                <c:manualLayout>
                  <c:x val="-6.7204301075268813E-2"/>
                  <c:y val="0.2323717948717948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0F-4F9D-A89C-26E1C62FB9A7}"/>
                </c:ext>
              </c:extLst>
            </c:dLbl>
            <c:dLbl>
              <c:idx val="2"/>
              <c:layout>
                <c:manualLayout>
                  <c:x val="-0.20161290322580649"/>
                  <c:y val="-8.012820512820514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C0F-4F9D-A89C-26E1C62FB9A7}"/>
                </c:ext>
              </c:extLst>
            </c:dLbl>
            <c:dLbl>
              <c:idx val="3"/>
              <c:layout>
                <c:manualLayout>
                  <c:x val="0.35282258064516125"/>
                  <c:y val="-6.4102564102564097E-2"/>
                </c:manualLayout>
              </c:layout>
              <c:showLegendKey val="0"/>
              <c:showVal val="1"/>
              <c:showCatName val="1"/>
              <c:showSerName val="0"/>
              <c:showPercent val="1"/>
              <c:showBubbleSize val="0"/>
              <c:extLst>
                <c:ext xmlns:c15="http://schemas.microsoft.com/office/drawing/2012/chart" uri="{CE6537A1-D6FC-4f65-9D91-7224C49458BB}">
                  <c15:layout>
                    <c:manualLayout>
                      <c:w val="0.33820538057742783"/>
                      <c:h val="0.37612179487179487"/>
                    </c:manualLayout>
                  </c15:layout>
                </c:ext>
                <c:ext xmlns:c16="http://schemas.microsoft.com/office/drawing/2014/chart" uri="{C3380CC4-5D6E-409C-BE32-E72D297353CC}">
                  <c16:uniqueId val="{00000007-8C0F-4F9D-A89C-26E1C62FB9A7}"/>
                </c:ext>
              </c:extLst>
            </c:dLbl>
            <c:spPr>
              <a:noFill/>
              <a:ln>
                <a:noFill/>
              </a:ln>
              <a:effectLst>
                <a:outerShdw blurRad="50800" dist="50800" dir="5400000" algn="ctr" rotWithShape="0">
                  <a:schemeClr val="bg2">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4'!$J$14:$J$18</c:f>
              <c:strCache>
                <c:ptCount val="4"/>
                <c:pt idx="0">
                  <c:v>Female</c:v>
                </c:pt>
                <c:pt idx="1">
                  <c:v>Male</c:v>
                </c:pt>
                <c:pt idx="2">
                  <c:v>Other</c:v>
                </c:pt>
                <c:pt idx="3">
                  <c:v>Unknown</c:v>
                </c:pt>
              </c:strCache>
            </c:strRef>
          </c:cat>
          <c:val>
            <c:numRef>
              <c:f>'Pivot 4'!$K$14:$K$18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8C0F-4F9D-A89C-26E1C62FB9A7}"/>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Dashboard.xlsx]Pivot 6!SHIPMENT SUMMARY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latin typeface="Arial Narrow" panose="020B0606020202030204" pitchFamily="34" charset="0"/>
              </a:rPr>
              <a:t>HOW</a:t>
            </a:r>
            <a:r>
              <a:rPr lang="en-US" b="1" baseline="0">
                <a:solidFill>
                  <a:schemeClr val="accent1">
                    <a:lumMod val="50000"/>
                  </a:schemeClr>
                </a:solidFill>
                <a:latin typeface="Arial Narrow" panose="020B0606020202030204" pitchFamily="34" charset="0"/>
              </a:rPr>
              <a:t> LONG WE TAKE TO SHIP?</a:t>
            </a:r>
            <a:endParaRPr lang="en-US" b="1">
              <a:solidFill>
                <a:schemeClr val="accent1">
                  <a:lumMod val="50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6'!$B$3</c:f>
              <c:strCache>
                <c:ptCount val="1"/>
                <c:pt idx="0">
                  <c:v>Total</c:v>
                </c:pt>
              </c:strCache>
            </c:strRef>
          </c:tx>
          <c:spPr>
            <a:solidFill>
              <a:schemeClr val="accent1"/>
            </a:solidFill>
            <a:ln>
              <a:noFill/>
            </a:ln>
            <a:effectLst/>
          </c:spPr>
          <c:invertIfNegative val="0"/>
          <c:cat>
            <c:strRef>
              <c:f>'Pivot 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F5F-4D31-888A-178806EEDF99}"/>
            </c:ext>
          </c:extLst>
        </c:ser>
        <c:dLbls>
          <c:showLegendKey val="0"/>
          <c:showVal val="0"/>
          <c:showCatName val="0"/>
          <c:showSerName val="0"/>
          <c:showPercent val="0"/>
          <c:showBubbleSize val="0"/>
        </c:dLbls>
        <c:gapWidth val="10"/>
        <c:overlap val="-27"/>
        <c:axId val="676091872"/>
        <c:axId val="676092200"/>
      </c:barChart>
      <c:catAx>
        <c:axId val="6760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92200"/>
        <c:crosses val="autoZero"/>
        <c:auto val="1"/>
        <c:lblAlgn val="ctr"/>
        <c:lblOffset val="100"/>
        <c:noMultiLvlLbl val="0"/>
      </c:catAx>
      <c:valAx>
        <c:axId val="676092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9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Excel Dashboard.xlsx]Pivot 6!CUSTOMER S SUMMARY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latin typeface="Arial Narrow" panose="020B0606020202030204" pitchFamily="34" charset="0"/>
              </a:rPr>
              <a:t>HOW</a:t>
            </a:r>
            <a:r>
              <a:rPr lang="en-US" b="1" baseline="0">
                <a:solidFill>
                  <a:schemeClr val="accent1">
                    <a:lumMod val="50000"/>
                  </a:schemeClr>
                </a:solidFill>
                <a:latin typeface="Arial Narrow" panose="020B0606020202030204" pitchFamily="34" charset="0"/>
              </a:rPr>
              <a:t> SATISFIED ARE THE CUSTOMERS?</a:t>
            </a:r>
            <a:endParaRPr lang="en-US" b="1">
              <a:solidFill>
                <a:schemeClr val="accent1">
                  <a:lumMod val="50000"/>
                </a:schemeClr>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6'!$B$24:$B$25</c:f>
              <c:strCache>
                <c:ptCount val="1"/>
                <c:pt idx="0">
                  <c:v>1</c:v>
                </c:pt>
              </c:strCache>
            </c:strRef>
          </c:tx>
          <c:spPr>
            <a:solidFill>
              <a:schemeClr val="accent1"/>
            </a:solidFill>
            <a:ln>
              <a:noFill/>
            </a:ln>
            <a:effectLst/>
          </c:spPr>
          <c:invertIfNegative val="0"/>
          <c:cat>
            <c:strRef>
              <c:f>'Pivot 6'!$A$26:$A$29</c:f>
              <c:strCache>
                <c:ptCount val="3"/>
                <c:pt idx="0">
                  <c:v>Jan</c:v>
                </c:pt>
                <c:pt idx="1">
                  <c:v>Feb</c:v>
                </c:pt>
                <c:pt idx="2">
                  <c:v>Mar</c:v>
                </c:pt>
              </c:strCache>
            </c:strRef>
          </c:cat>
          <c:val>
            <c:numRef>
              <c:f>'Pivot 6'!$B$26:$B$29</c:f>
              <c:numCache>
                <c:formatCode>General</c:formatCode>
                <c:ptCount val="3"/>
                <c:pt idx="0">
                  <c:v>7</c:v>
                </c:pt>
                <c:pt idx="1">
                  <c:v>8</c:v>
                </c:pt>
                <c:pt idx="2">
                  <c:v>6</c:v>
                </c:pt>
              </c:numCache>
            </c:numRef>
          </c:val>
          <c:extLst>
            <c:ext xmlns:c16="http://schemas.microsoft.com/office/drawing/2014/chart" uri="{C3380CC4-5D6E-409C-BE32-E72D297353CC}">
              <c16:uniqueId val="{00000000-64EE-4968-862D-52A8A2255616}"/>
            </c:ext>
          </c:extLst>
        </c:ser>
        <c:ser>
          <c:idx val="1"/>
          <c:order val="1"/>
          <c:tx>
            <c:strRef>
              <c:f>'Pivot 6'!$C$24:$C$25</c:f>
              <c:strCache>
                <c:ptCount val="1"/>
                <c:pt idx="0">
                  <c:v>2</c:v>
                </c:pt>
              </c:strCache>
            </c:strRef>
          </c:tx>
          <c:spPr>
            <a:solidFill>
              <a:schemeClr val="accent2"/>
            </a:solidFill>
            <a:ln>
              <a:noFill/>
            </a:ln>
            <a:effectLst/>
          </c:spPr>
          <c:invertIfNegative val="0"/>
          <c:cat>
            <c:strRef>
              <c:f>'Pivot 6'!$A$26:$A$29</c:f>
              <c:strCache>
                <c:ptCount val="3"/>
                <c:pt idx="0">
                  <c:v>Jan</c:v>
                </c:pt>
                <c:pt idx="1">
                  <c:v>Feb</c:v>
                </c:pt>
                <c:pt idx="2">
                  <c:v>Mar</c:v>
                </c:pt>
              </c:strCache>
            </c:strRef>
          </c:cat>
          <c:val>
            <c:numRef>
              <c:f>'Pivot 6'!$C$26:$C$29</c:f>
              <c:numCache>
                <c:formatCode>General</c:formatCode>
                <c:ptCount val="3"/>
                <c:pt idx="0">
                  <c:v>37</c:v>
                </c:pt>
                <c:pt idx="1">
                  <c:v>51</c:v>
                </c:pt>
                <c:pt idx="2">
                  <c:v>39</c:v>
                </c:pt>
              </c:numCache>
            </c:numRef>
          </c:val>
          <c:extLst>
            <c:ext xmlns:c16="http://schemas.microsoft.com/office/drawing/2014/chart" uri="{C3380CC4-5D6E-409C-BE32-E72D297353CC}">
              <c16:uniqueId val="{00000001-64EE-4968-862D-52A8A2255616}"/>
            </c:ext>
          </c:extLst>
        </c:ser>
        <c:ser>
          <c:idx val="2"/>
          <c:order val="2"/>
          <c:tx>
            <c:strRef>
              <c:f>'Pivot 6'!$D$24:$D$25</c:f>
              <c:strCache>
                <c:ptCount val="1"/>
                <c:pt idx="0">
                  <c:v>3</c:v>
                </c:pt>
              </c:strCache>
            </c:strRef>
          </c:tx>
          <c:spPr>
            <a:solidFill>
              <a:schemeClr val="accent3"/>
            </a:solidFill>
            <a:ln>
              <a:noFill/>
            </a:ln>
            <a:effectLst/>
          </c:spPr>
          <c:invertIfNegative val="0"/>
          <c:cat>
            <c:strRef>
              <c:f>'Pivot 6'!$A$26:$A$29</c:f>
              <c:strCache>
                <c:ptCount val="3"/>
                <c:pt idx="0">
                  <c:v>Jan</c:v>
                </c:pt>
                <c:pt idx="1">
                  <c:v>Feb</c:v>
                </c:pt>
                <c:pt idx="2">
                  <c:v>Mar</c:v>
                </c:pt>
              </c:strCache>
            </c:strRef>
          </c:cat>
          <c:val>
            <c:numRef>
              <c:f>'Pivot 6'!$D$26:$D$29</c:f>
              <c:numCache>
                <c:formatCode>General</c:formatCode>
                <c:ptCount val="3"/>
                <c:pt idx="0">
                  <c:v>150</c:v>
                </c:pt>
                <c:pt idx="1">
                  <c:v>182</c:v>
                </c:pt>
                <c:pt idx="2">
                  <c:v>163</c:v>
                </c:pt>
              </c:numCache>
            </c:numRef>
          </c:val>
          <c:extLst>
            <c:ext xmlns:c16="http://schemas.microsoft.com/office/drawing/2014/chart" uri="{C3380CC4-5D6E-409C-BE32-E72D297353CC}">
              <c16:uniqueId val="{00000002-64EE-4968-862D-52A8A2255616}"/>
            </c:ext>
          </c:extLst>
        </c:ser>
        <c:ser>
          <c:idx val="3"/>
          <c:order val="3"/>
          <c:tx>
            <c:strRef>
              <c:f>'Pivot 6'!$E$24:$E$25</c:f>
              <c:strCache>
                <c:ptCount val="1"/>
                <c:pt idx="0">
                  <c:v>4</c:v>
                </c:pt>
              </c:strCache>
            </c:strRef>
          </c:tx>
          <c:spPr>
            <a:solidFill>
              <a:schemeClr val="accent4"/>
            </a:solidFill>
            <a:ln>
              <a:noFill/>
            </a:ln>
            <a:effectLst/>
          </c:spPr>
          <c:invertIfNegative val="0"/>
          <c:cat>
            <c:strRef>
              <c:f>'Pivot 6'!$A$26:$A$29</c:f>
              <c:strCache>
                <c:ptCount val="3"/>
                <c:pt idx="0">
                  <c:v>Jan</c:v>
                </c:pt>
                <c:pt idx="1">
                  <c:v>Feb</c:v>
                </c:pt>
                <c:pt idx="2">
                  <c:v>Mar</c:v>
                </c:pt>
              </c:strCache>
            </c:strRef>
          </c:cat>
          <c:val>
            <c:numRef>
              <c:f>'Pivot 6'!$E$26:$E$29</c:f>
              <c:numCache>
                <c:formatCode>General</c:formatCode>
                <c:ptCount val="3"/>
                <c:pt idx="0">
                  <c:v>312</c:v>
                </c:pt>
                <c:pt idx="1">
                  <c:v>373</c:v>
                </c:pt>
                <c:pt idx="2">
                  <c:v>351</c:v>
                </c:pt>
              </c:numCache>
            </c:numRef>
          </c:val>
          <c:extLst>
            <c:ext xmlns:c16="http://schemas.microsoft.com/office/drawing/2014/chart" uri="{C3380CC4-5D6E-409C-BE32-E72D297353CC}">
              <c16:uniqueId val="{00000003-64EE-4968-862D-52A8A2255616}"/>
            </c:ext>
          </c:extLst>
        </c:ser>
        <c:ser>
          <c:idx val="4"/>
          <c:order val="4"/>
          <c:tx>
            <c:strRef>
              <c:f>'Pivot 6'!$F$24:$F$25</c:f>
              <c:strCache>
                <c:ptCount val="1"/>
                <c:pt idx="0">
                  <c:v>5</c:v>
                </c:pt>
              </c:strCache>
            </c:strRef>
          </c:tx>
          <c:spPr>
            <a:solidFill>
              <a:schemeClr val="accent5"/>
            </a:solidFill>
            <a:ln>
              <a:noFill/>
            </a:ln>
            <a:effectLst/>
          </c:spPr>
          <c:invertIfNegative val="0"/>
          <c:cat>
            <c:strRef>
              <c:f>'Pivot 6'!$A$26:$A$29</c:f>
              <c:strCache>
                <c:ptCount val="3"/>
                <c:pt idx="0">
                  <c:v>Jan</c:v>
                </c:pt>
                <c:pt idx="1">
                  <c:v>Feb</c:v>
                </c:pt>
                <c:pt idx="2">
                  <c:v>Mar</c:v>
                </c:pt>
              </c:strCache>
            </c:strRef>
          </c:cat>
          <c:val>
            <c:numRef>
              <c:f>'Pivot 6'!$F$26:$F$29</c:f>
              <c:numCache>
                <c:formatCode>General</c:formatCode>
                <c:ptCount val="3"/>
                <c:pt idx="0">
                  <c:v>224</c:v>
                </c:pt>
                <c:pt idx="1">
                  <c:v>247</c:v>
                </c:pt>
                <c:pt idx="2">
                  <c:v>250</c:v>
                </c:pt>
              </c:numCache>
            </c:numRef>
          </c:val>
          <c:extLst>
            <c:ext xmlns:c16="http://schemas.microsoft.com/office/drawing/2014/chart" uri="{C3380CC4-5D6E-409C-BE32-E72D297353CC}">
              <c16:uniqueId val="{00000004-64EE-4968-862D-52A8A2255616}"/>
            </c:ext>
          </c:extLst>
        </c:ser>
        <c:dLbls>
          <c:showLegendKey val="0"/>
          <c:showVal val="0"/>
          <c:showCatName val="0"/>
          <c:showSerName val="0"/>
          <c:showPercent val="0"/>
          <c:showBubbleSize val="0"/>
        </c:dLbls>
        <c:gapWidth val="219"/>
        <c:overlap val="-27"/>
        <c:axId val="619353304"/>
        <c:axId val="619353960"/>
      </c:barChart>
      <c:catAx>
        <c:axId val="61935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53960"/>
        <c:crosses val="autoZero"/>
        <c:auto val="1"/>
        <c:lblAlgn val="ctr"/>
        <c:lblOffset val="100"/>
        <c:noMultiLvlLbl val="0"/>
      </c:catAx>
      <c:valAx>
        <c:axId val="619353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53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4">
                  <a:lumMod val="60000"/>
                  <a:lumOff val="40000"/>
                </a:schemeClr>
              </a:solidFill>
              <a:latin typeface="Arial Narrow" panose="020B0606020202030204" pitchFamily="34" charset="0"/>
            </a:rPr>
            <a:t>WHERE OUR CUSTOMERS LIVE?</a:t>
          </a:r>
        </a:p>
      </cx:txPr>
    </cx:title>
    <cx:plotArea>
      <cx:plotAreaRegion>
        <cx:series layoutId="regionMap" uniqueId="{31B2DD52-EF1D-4CC9-AD42-5DCC70530D3E}">
          <cx:tx>
            <cx:txData>
              <cx:f>_xlchart.v5.6</cx:f>
              <cx:v>Sum Of Quantity</cx:v>
            </cx:txData>
          </cx:tx>
          <cx:dataId val="0"/>
          <cx:layoutPr>
            <cx:geography cultureLanguage="en-US" cultureRegion="US" attribution="Powered by Bing">
              <cx:geoCache provider="{E9337A44-BEBE-4D9F-B70C-5C5E7DAFC167}">
                <cx:binary>7H1pc9s4tvZfSeXzpRoLSQBT01PVJCVZ3hNn6eQLS7EVEtxJcP/176EsJxZlZ9RqTb13VFfuVJdN
HuiQD3B2HPzzvv3HfbRaFm/aOErUP+7b39/6ZZn947ff1L2/ipdqEsv7IlXp93Jyn8a/pd+/y/vV
bw/FspGJ9xtBWP/t3l8W5ap9+69/wmjeKr1M75elTJN31aro3q9UFZXqF9devPRm+RDLxJGqLOR9
iX9/ay8j+T0tErl8u32N/P72j3j5kBZv3rx9s0pKWXYfumz1+9utEcjbN7+Nv2iHqTcR8F1WD0BM
+YTqzESE62/fRGnibf6uYYImjBEiKBJo+OCnb71exkC44cVOq6Tsni69yNCaneXDQ7FSCh5p/f8d
+q2HgLfwx6tP//SN98M3D+/dAwh+f/sxkeXq4c1duSxX6u0bqdL1jUVnp8Nzfrxbv5jftpH71z9H
f4BXNfrLM3DH7/XfXdrG799g+yWN0mMjazKmCx0ZY2QxIKszjM0Rpmsent7vL6bYy4huUe+B59b9
J4bmhypaFqvj4mlOKEWwLDfrcViQWwsWiwkRnHNs0Kf1+LhUN8wcDOyIfg9oRxQnBu4fEUjAh+Vx
0WUTjnROuEnF+sNG6BIyIYyAqAYJ/7g0N3J4w8zB6D49zdMAe8A7Jjk5fDOZHHnx8okpqGFiQ3+E
l4/ghcXL4GMYDPTwNr5rZp7Q+ctS+Y9oi34vdLcoTgzcuzRJ4yOvXT7RqTAFI2xtKSGQv1uSGdYu
w4ap64OR9RzcDTMHgzui3wPcEcWJgWtVZXnkhSsmBiYUjKhXFi7BE8PQTYzJyJh65OVgaLfJ90B2
m+DEgHVW0ZvrFLyvoypdHQxhQwcvB/NXlK4+IUinoHRHWvcnPwcDvDvEHiDvEp0Y0HYaVerI4hns
YiQIBeX7KJ4By7F4RohTU+jgKT0XzxtmDoZ4RL8HviOKEwP3epkdGVoOLg9YxSB8X9W8hA8uMB8t
4DUrBwO7Rb0HrFv3nxioV8uHVXFkWM2JMAk1CNus2LGrC7EpZFIwp7DYXrEbZg4GdkS/B7QjihMD
104hxrZ8Y6eqPDLEfIIGrUspe9khApsZA8IGw+AqbQvlZywdDPTWgz2NsgfcL9KdGOh3y+TNebrM
K5kc1dyibCIMMLiIDkGs4bPjJ2EQ50QHS/tx3Y8s6ud8PUH2l/3hlwbZA/eXyE4M9ptimXjHNbAp
nTCBdc7NV7wnDGEvAzIM5ji9sGHmYJhH9HsgPKI4MXAhrbSsQU+r465oPsGgqTFhm8jHjmmNJiYf
jG/dHEnxH/wcDPHPR3oaYg+Ud4n+C4D+NYtbTz1kmf54etUvpOP+anqQTQhEN0yBH5OALyUdTAyB
Lwym2Prz9N2P0enn2cxXRfVjQnUnQ/icdusZHx/x1y/lvy7/dwWW1qpYdcddn+bEZJAFpOi1yCSe
mBCYNOk4rfCDnae19Sp65BX4dkZ4AcOtP0GCe4fmxECeRm+ctIAk/nFR5hNGhGmQTepIgFO0HeCA
VL4Y9LBhru2ukV31k6uDwd4dYgvalxP6u0QnBvcMSh6SI2NtThjFpmHgjbwdYz0kkrgBP3gUzNow
czDEI/o98B1RnBi482iVHNk/glwDQQYWBIyl7QUMzrDgmEFIZFu/PjJxMKbb5HtAuk1wYojeDdmj
I5dXCYhiEAIW8ma5jvO+kD4yiYHB5x0ZyBtmDoZ2RL8HtiOKEwP3rIq/pdFDeVTNq4Ni5Sagt7ti
9QmUV1EEFR0v2cU/uDkY350R9kB4h+bEMP4ERmp17Fg0pAA5ZIfQa4HKddkVxchEo0DlEzcHQzwe
YA+ExyQnBvCdXBXHxheUrokorFN9bRvvBiXRBC4ibvKXg5KPLB0M8uaRnuj3wHhEcWIQL+JsVchl
dFQ5TaEARxBu6LBO159x5BkbMAsMsKqhFHr4jDykH0w9wfSXveGdEfYAeofmxKC+XCq1Oq4JDQpZ
hxo7LjYZhpdWswmXdW5CgeUjio+Rqg0zBwM8ot8D3hHFiYG7SLqje74cEXCQoKb9yaTacpLwEIwW
pgkl0NvQrlk5GNgt6j1g3br/xEC9WBXHXa/UmFC2rq57lLsvxZeHPDE4UaP1umblYFC3qPcAdev+
UwMVNjgdOS0EWxUgJQSZXOOVpSomJlwDr3iM6pqXw2HdIt8H1y2CEwP2chkeOZ0rJlANiRmCTWHr
z066j0wENrDJ2SiasWblYFi3qPdAdev+UwM1VW/+gDx9tDrymtUnyCCE8qc1O45UgXolOoXNgoD/
8BmZyJfP+Doc6BcG2QfvF8hODParZfEfqMZhOtTjoE3aaAw4VGAZFIOhLEb21CMvB4O8Tb4HvNsE
Jwhslh675JlNoDgSyif5xg+CxbptKwuosNQZhx0rT7b0c2doeONrpv4WyFsj7InzFs2pQb1KHtJ7
eeyMIKQYBo+IsU1sY4w1oVD/zkxKxcjYuvrBz+Ew7wyxD847RCcG9FAseAX70I/sAK8XNWOwj/Bx
zQKcW4t62CJKOEwGfaSbf/JzMNC7Q+wB9C7RyQF9X8Be4KQ8MtJ8YjDYL6pD6dz6s4M0ngDK8AOu
8wu22N3yB1t/A/CdMfZCfIfqxCC/WhX30GfiqD042IQiU5iQYniEe8cSg6gmxwIs7xfh3rB0MNQj
+j1gHlGcGsQpqOmjIgwbDXWBBEQ8zEeEdwo80ATq4mGPKR71brha83I4tFvk+yC7RXBiwA766LKS
6s3NN6myI8tsA/LExMSQWliL5J1IJuxZMiHICRuFR3uWxlwdDPZrA+0B+2ukJzYBoL70yKhDUAR6
NvyQ3IOJvWWTDdUBhHMBftZ2UmLNysFQb1Hvge/W/ScG6vWqXh67GwugZhIGVR+bDYjjfDGUbSFY
6iCwR4HODTMHAzui3wPaEcWJgTsIJguyTsvi4eiOM5RoQWEP5tBWaf0ZgwybkwjsHRZstHRHPB2M
9Svj7IH5K5Qnhv1ttLw/dj0mn4AsHkrhN/tZxpgPC5sNZSLk0VAbQb9h6WDIR/R7QD2iODmIK+i9
eFRbm0Jok5oMdkNsSm7HKhkMMTDSwBinowr522jNzN8Ad4t+L3C3KE4M3PcSdhwq+XDkJCSdCI4M
SjcVAzuGNohtCvsRIbc8Wrw/+TkY4t0h9kB5l+jEgH5UR9CA88jGtQmbg6E4HjpB/BDGW8Y1CGsd
EQQF2CMr7BlDB0P9whh7YP0C1QmC7ciVd2Ss1y3SmAFVmmMPikElPeVgpm1mwbYfNbzwR3b+FtLb
Q+wJ9DbRCeI8g5YA91Ldp0/v/IUdxVAD8tc6DjPYM4EQgzK9V1Y1mUCDCGxwOpLfA9Q/OIKeJNVh
nYdfHmZPyHe///Rgh1Yv1rL4tjx2pb0+4DrUE7y+ddEUnOoYWnGtP0+z7rFCF3B7xtnfgf+FYfaD
/wXCk4Tfhu7FR+73A0YZ1A5B4dhrOQ48GXoXQ0hlZJU/wv7I0d8EfXuQvSHfJjtNwIuqP64XBi28
mI519JTxGKt1SFZD03lQBOMI2gbvgaG/C/fzMfZH+znVqYHtL4/dyAt2XEDPYjDQ6GstYMgErDfE
ITkykuePzBwO8jb9PgBvU5wauFKFskuro67joUUqBVuMPPUlB5ts2wcjExMaWxvQj28E7xM7hwM8
HmEfiMc0pwZyGi3/EzksiIgObWLWn50CMhDVuoDtjztu9iMzhwO8Tb8PvNsUpwZuuUykipbVkSOi
DHZbIGgeYb5Wtg9BbzQUd7NRpS+cpvLE0OEg746xD9C7VCcG9oeVvzxyI3rQxbCB1YQ6/lc8rKFC
EPwraFf+WBc8qhPcsHQw1CP6PWAeUZwaxFCzD8c0HVchQ8sJ2FwFdfsbJ3knvQF7cKDhMTjRY3Q3
3BwO72iAffAdkZwawBW0K4+PfVYItEnlkHiGnjCv6GMEFjXBmJORyfXhiZ3DIR6PsA/GY5oTA/lL
9e3IsZChYh9DswGoClp/drbRwZkSsIWOg1u1bVOvWTkY3C3qPYDduv//B6ivH8X240g7Z1kup+vD
8J6dxvbrq0/HuI1IN90AXo5wP26OWTz8/hY2WVDYMgVBqh9R72GgrV4CQ4R5nRt4Qm+bcAVO+O9v
NTh/bYIGz3ho+gXxcAzToFltLrGJIQwuKDcEHAk1JEUSOP7ChwP76MSA22F77bB1x0QCjpRRabW+
NGzYAitOCARbeww4cebHUYW3adR5afLjxWx+f5NU8W0qk1LBg1EYKXu8b+AXWILBYEMgmIUgimDX
33D9fvl+2DILt/+PDAJf+VFJr2CTWOzbRpiXXmlXphGexzJuMmLjumdFbekoI63jJ11/V6Wu4/mJ
d0mrgC1DP7Fpmdseyr8GLML4tsEq86yg7rLcUnUibuK07M89WkVykZcd+QC6TzMWWKFCs4TQypvY
pe552JmonJIwDPCdZCLSL3qvj9S9SDyzuSpoVhjvsjia12YSrdw6l06ayCqyK51XwRwFHM9EzmX9
vsy7cqFHRGlW3/thP3VRV33tdVaFFst9dEEq4V4UeR4IO0kaf+q3IreLvCinFerkhVF2+qXr9lll
BcIVYMonvrD03G36OYRJejtM/OrWJ8ay65KvLPTuA1OPp9DTILYz01hlZbwyRYpLq45z/aEppc1R
YpPcaxZJj4xZGWrV18b0TKsmSEq7CStsc9EEFhzpyD9jTWaOCBv3vpVmfaZoQha+5vqXWkjisxAX
7JrlVbvosyyf60ad2kXdl1YcJq1t8My3Wgh/WaJ2rwDczDFLbqtGuQ4v4wteidQ23IJddYbRL0I9
8i1JRGTpwp8zmcdW4ZHQoh0PoGF8lVgsCZ2MixXXfW3O6/4swuKGBtKcd25TWpqKQ8tzC91Sevun
7uuuEzZ9bTHTmKdYtHCiTWuXftFch7QtbeT7rS0io3UKsH6mgZaRG+SF4Z3WGPR9YprJKkB6cR7n
Mvkc1HphS5k/JF0dXDw/+3FrKdynWVdIz98c3Pnj1399SGP4b30Y5M8/Dud+/vxtvkqHxIQa3zRI
rR93/TxQcpASP06XHMmex8NDXxFMv7z4utR6LnsMSJ3+SmA9b7X7U9Q9Uv2QVlAuN+wORnAYjgEN
JmHAJ2lFILMzVEqCl8mhVfCw/WgjrXQIHeChPBYN/YHhnB0QZM+lFQwIyUAOwUPo8fCXpBV8x5aw
MgQ4NbDz3IQoBoUW8yCgnwursqdplldVe500VEzrxvUzK6UBC+2QNfU7UzO686Ctk3CKUFh+KVO9
/hjqqgUxJJL887O395LsBCN8zA0UDg5CWh9O9RtM8efc6EmXhcKv6muSJ/jaC/vEtSqWmr7d1mUq
rLrRqy+szjRpFTEHCZkHRehZbq+YDqudJQ+iLNENjOFXDoki/LE3NI7nnWm4K9xpuJ39mmMyFvbw
/nToFQydc6BHP7StQyOOJfMB2668pq3heY7Z9tHHGqJCdFayLjWsumtx4EjmcqtnZietLkR0HtdF
h52iTssHv1UK21LLDEfBqbm1VcY+gsVeGKE39dLAvw0rcR4r4SsH7CLxSfn5RRg1RjuVSjOvZOHX
8fzXT7ULA9TyIWj9BCc4QRHB+qGfaTDWaV6jZZG6TkpXfEo90MGWHhKYGllStbdNW4i7zMXRn7/+
2mGubSlODJsxOaPQ9xw2VxM6sPXsaw3UenqmvOQ64T2+xqFfXScKxBV3/U+//iZYPjvfJKAEhkFD
IzAn+WieZYne9Xnhp9c8Q/oyb9Iimrsl74gVZv4U5VXU2xR1PLUDajTxv5s0w6TYflCYKNCTR4f+
7tDtcPz1EFGUvpfEEnROaCzjoDKWYTTwYPSxmppFmlodAujnTZQ3xMrDlK3KSKhFI0CNtiYtkE2b
IA3tgCXxR1pkhDo+77pVptWZg7Q+ZrYhUr04M6jZV9av397QEnfMPxvEBiSc4WhNUMLbQCGzMhLD
cLUrXLnxUhal8iyshWWig5brEu+88WX4zeMiu2z73J+Zqd5Km+CafS9Z36d253vM1tOgXsmCsofa
yHx2/msmdWMH5LUdBhsChx7OsDrBKXg+ncyCS1T4YIcFep65gjul8Pt5W7ZUzMq6quyizdG7Ou6M
yvJ9n9kFTuaKFNk80sFIC6M8fp9FRtxaLGq8z00Qp4tOlaWVGXn20VQhd9w8ce0qDQJpyZIGjeUG
KrluMk3d5FpPp56HRWBpvZvENqn9+Mwwy+g9Cbxbr0toa0UVy69LN/9QklijjlkTeJGyIyAb9Krv
LdTw4DLyDf7FRZV+7pscX/ZeWwu7Qb4ew7FYnVxovOhiq+l47+DG0Jw+aO8zlZd3FdKYbzVxyWau
yquF7hLyIfdxE85dpmFpgSXnfoPcM9iiMsm1r1XMYifLFFmEaZItcC6iB1lnJqx7God3Urgts+pc
984Lt6jsDt7DHOtE3ORN3E71pshnGLe4nkZwPo1n143Hc7smvjuNFS2cKhM3vqt5yME4Lc9A1ZDG
TlBgWrxk0Z9tjPwLUojszqClMa9EoJGZMuN+yc20mCrUBv2sDrk309oWLYmKmu/KyzLD7kmJKivx
SO3N2jJIYXE0zbTz6orPitT1HbDG47MEbrVAnBcpvOi4ZlaggkCzmdswi6VG21t6GblgeGtJPC/M
cOrpVYfeNRTrcBB5gSIrgJlUzmjZCDVvKWsvzbDvI/dd1eRlHFudjLqkePBdn5D+i2q0lsW+JQoQ
5ek96eKgpAUYb1WVoesyLOOwPRcy7+e1qEp3ERdSZlZAovQOMY0ugo7Syq4AA9fqcgR2X+/HnDuJ
64I+LKOwyadm2HjILqISuzd+jkyWnoUda3ynayNRXpqqpDCjGjfFqrEr0IUzU/MD96aGpWN6ds4z
DhOOhiqeJZEshBXloLzcaVtL09ZcqEgxrM5FiQ6GqxvHti+qxp01EYviqXLBKpgZiRf3Nu8NkJgJ
CfXKjv1Ci6xadZ66VVKL42nqSf5dq2omkYNSUs4luBf82tBczz1PKCuZEdhJq/K+O1OQMCv8aeb5
LJ66qu7zmShUImddZMbdGVIqzmyDdJG0WWt00byQudRsgJV81rK4xw5UwIaxA/+QdhMFSFPwyhOw
fONYxAtaiDKahn5pvu+rktJZoKUEX/iNrxgY5j7xy7lb1FlyB8qYngdeT8JZlQEH07SMvH7KcdsL
mwdd1lzFvIOprcFSKRwX4+q8oIYROZ5LvcphSQ1wSqbAPkn6gParKITTUB0ODMQO7WI/X2Ak9TNP
stC0wUfLqSNT6Tp95YaGpTVFJm4Dtwl0m8o86K04C3rtArmRPsOZ6xnArmDZFHd+ny58iRtvGgrd
b6zhPgsLKRKYPh7N7baRWm+VrdS+FtB/rtMsCeuIXOM+kb20eK1r9EMXNaS6NjPRpU4i8vLKqBJQ
SZ5iIRCImMLbcqWPky89jhL/PO/iqJ2pxujlBQYP94MegPtmtG7sWhzD5J1VScvoVJm9BOYrHMRO
RPNQ2bxxpxLL/EvUNGBZBF5Q3ynDbL5lhU/PatZ47pSH4MxbCXdhHCNKg3aWFDW+7tuM6u9UaeAP
uNTgjsbUFLdL3LF2WpM4kGdFSwg4hcxT5EZqTHxKUD5MziDI1ZxFyle3baeDA4fyBrDxmwQYSxUI
3QvQYOIT5QhmdwxSsnBgd3GbLkolXHIbFFUYvic8Efqi1YOmuirbcjA+/a69NULNbKdpE8NXp2kP
3lpL4rKfo5ANDz+w3oB8Ar6yGF/rRgJPUeUGvCo/TMPeFmENSyeLvFC+SwoGS76owCrw4BrIVFIm
/k2O9a5ILJr5COBuira6ijU/U5ZEVd7OWjjLgk67OieD0IDFZMMTgQBpBR7s5DKJP7lwEsI5r6Xk
FvchLGG3nWcum4QCG20RdO9p2SJ14YGZG1ykWRIGdxy0xVwlCF/nwsu/QFmxmVu+7ktynnJPVBeu
n3q10xUsb8DA7eg8I/BabcTy7j6MQuO2rRRKz3LU1eHnxow9dRa7Wvy968UgQ2Qe+Q74AZxOJel8
NcvMWHzWkBvPIFLi5RbTQcx1ReO/l2mpLkQcBoZjkIJ4IPbgkFKr9on4VARa7U0jksAy6TWXioWe
pDhfxSCQu3PoEA9roxkk9jQwNHijbd3XU1AyTX6Bi4qYtiuisgZNS2sEpncefC1ELT5oHZjp570o
C/xQqqRTVowxqxeyITBUG2O/t/XGM71FBrA0thYKc9andV1etR2L7oJa5RZn6kyP29o46xsTwAkR
Vv08i8I0vUrMVr/USqSnUz9P4vrC65rMt7mhYv8DWCLqAYkExAiITlVboQ8xB0s0Nc9BC3T5XeTl
WP6J057y2urBAus+ZiXVBAym3GLqMy30zjU3a775HtJqO2LKDBdSIPyuVZrbz4sqV3Iq+womqSRl
QG/bMOqN69jMosjKsxqZVzr29dbuwLpR08bPALWGJ9Kzip7FIDuUiqa4pW3h1BHhxbznOcz+UG89
5nRuh5TtZsrMPzdGhz8EfgFzDTSd+ARzPVa3iUgwCFiSiWDGY99srLb6QnjVcGyFYc0+GiTJG6cx
vFK/0t2I1+9zV4kClDvM6GkmKaAJjkPXXkpahuklKzKf3pIWRebCbVMBz9W2mncVFlrWOLFyQWaA
NVaVV1HkAv+FCL2Z8nnoO02L0KLLdVj3nWkyaemuz67WVukm4nr7aOQ/hgufxzKehzb2iZFcyfsi
Ven3chwk2Rrof3kkBeKyP4MiQ/x3aLfzzIjfif/+EUFc6GH5MtlTPGXYvDC0fOCg0jmcMQy+yY94
CpRMMQiNIEoJopjApafoL+SGoBYD9rfoQ3EdHB3wM54C7WGgwTHkDaCxE7QGgSOLnwJKW3B6q3Tz
+1b0d+jEuOUbGXBkDGyCBZkCJgd0/Bu5lrz1clFxv7oJZJmd80joV0XSXvAkym2jKj6ZcezkQRme
JSmL+pWfqlx7V3Ud2Hg9BDVxG70TfpZYZdi9Kz39PFVxOssjJS3cdxAXCLE2l1GtW3rmz7yw9hdg
fCLby1yIFzbK821R58ksZllU3XVe9kX4XWppsPPLYmABBHZGlH5et1p/bmRJ67t2xzt5XkWh0xFX
Oyu14rsnkh5CEsiddzgF5wiHYhFVXv0pE5xfEGmGV5wmYPvLu6yifjblcYdmGebSqQsNOawWiZPS
njpRJIlFTAHiAouLkEE8OPewbZSknBltds0Nv7ZqmopZHfWtpbklmBR+0pwVjbrGSgm7TPIvReNd
driZ+qhziCJXSPcumr70rTKAgLIEUWgFnNtNpappAghD9FQrp/Bl3ne3Sc2vXR/U7iw3ct8CnwjM
VV/hM1FU7/2Q3vEAJdUiM32tfCdxkp+BV2MnuW+e5UankjuzRKKw/MpltUWZq88pburAMlzje+hW
zWKoLZtXSRg6fZzcdoG6NvXsPIn86xyRC15qs1Q151psOmkPoiZPLBT0tiGzhyYh72UpvvxHRMx/
m/AwEIJF+3ry6PkJo2MJ8kj7TIJAvgdDwgdjaJA7RF+eSRAQEFCYCeW1UHBvgrh6kiDQJRnBkSQC
mj2ydd7puQSBsBVEfYk5lA8wOFz3L0gQCATtShCISEHbGggcws8QFn4etxAx60VSG/VNVEvwnSGL
kqLzqMX6edJDqMEOzPhjF3jEYq12yRMI/QRGXFtNYEIuSUMWLoMPrVdehLy9q1F72bk4sDLfFBao
VbCPZA9uZ/mpibtrFtOFIU2LRm5q5VzdZG17bmaVabdxvpB91FixUuBAesJymWjnBaXfKYd0VrOe
yDLsbNDBZFqEWm71XJ9VQcBtPQJ3XCj/S2e6vqUivZuKsosdVGQfdLOqLL3SCCTGPJtmPbI7SHro
Xl7bReJ+jgR2SmJ2dqGUY8jmmwkppsDNYwe60N/nAZN2bco/TTBxLQjMLmjLwd6VzAJH7k/T0+ec
Zb3tNnTmc8iFURWfEbM2nDrlZ6oF4dvpdQH+T/utS91vcdneoNTPLQOC2xIJacd6OA/DdsEhQjfD
bVNAmFZLLe5lDx7SDafFyZ9ZagQW9WvquFW5Ml3SX6uwW8rMcC8qQ0IkySCx5XvmVEs4fk8UKxwd
4hC2HCzWVLVi3jThBTby+gsXdUGtCrKYM4iH2ZBSk1PdZeks6iiyIa0DPqfvI8sTfWpVJFFXHeKt
E0IIecZTyGq5kdbZJcxmq1ChP9UkxEo6JN1pgpS8kCiN5pAHK++IUfefII/kOykC/yJUEbrqzJjN
+iYMv6RFTc4lY+aftYrj96rA+a1vErnguGgvc+FSp+6i9Bzs/6KyNF0PLt0myQb3t72sij4iVh8j
91vLpcbBXtPyRULQuzAVeOr7TfYRdfDi5y4E/b9qgfC+6zyqpvEgrJuyq6YhyO8uJpBWGEQ65N5g
3hTgWIK0L7se3nozzUELKNAGEAMQtpZX18WgKNxBZTBUQ1psUCNsUCg6aBZ9UDF5jCBEOigd0D4Q
N/GscFBIyaCazEFJ9XqInXRQXGxQYelamxF5xx7VGyi6dFB54aD8BERfFiZUtlj+oBo1DkpSgbZs
B7UJzrnTDor0/4Q5WIIgkCEm/row/yPKZLJ6QYwD1ZMYhxYx0PuJQt3e0HEEDL5nYhzOOWeQbTOM
x/TZlhiHs7Ohc4VBDdg3YzIQvk+JNQ7dt6EFM2ymhFIAMBP/WmJtJ/wMxd8EUigUYrLAJx5Oinwu
xr2CNUFAeXSj4fyLJ0vwj6voG+6MRYTjxAog6a2KasqM2EI1rELqXYouv254DDGFBsRvPKSOK0+z
C1aRmWegGUrpXSNrMuUsreza6y5R6TqmlkKgCZefJCeZHeHo0jfyyK614iwK1TI2W8+qsP7gEqns
TIs92zPai5bXD5Ajz20eglUFJvXU7GrDwl3ST1GlRU4RQ0oZXLHSZpWobL1Dpl2mSTdL0u6WQKrb
IV50UbUGtcAZ+xNS0a0DPvJDisxz0G6Zk7dJZnm1Cq3Yo5bhQx4iYeK2F/hz7fZQzcBlCIF3rbEi
VsKvZiDt3suIFceeazF3Qb1y1rHUtXLwUi3StJ9637sqWXKRudmFD89kpZ0srJiQ940Mndrz4mmY
kCsXkw9uF5VgVFaxBR0DIaumagjchxq3dJ2exbSTtsuzz9woNNtEnVd5tgH1D95dSYLsK4SGPnW9
3lyUg06kpZpHuIH4b158bT3w/5NwHmeNCXrMSC29AQO7oi6xfJdf+R75RHMFIl02NxokD6dhWPUO
MXpv2gsIvXiF0OZaWr2nmv9ggOKdQxjKxhBcukjNZdkuIQI30zNzqTqazqsCzaNKedMia+L0k8B+
chehKAtX0usfmtZ/31Mo8WBVljIrLHzOlwUOrl2Y3wtUJuisLUl6QwpX3Oixq8474dq6ADO5YeZZ
WXSBhXwkbV8X3TUNevB6ZRo3cwjgf26SxmEy9q9om67AqSdnKPVEbhUm93vr/+TcWs4ZkDB+Xc5t
zp3aFXQD2Q9Bx2GrCFiesFMIokvrWoAne3WQgUyA1QkdlaBW4Lm9qoPHCwdMQz2k0MEdhTKBH4IO
GttCVubxfFu8vvQX7FUwwrf9XQGSFg9bXRg2Bid7W8y1SPPqokiq674L7cE28JRhSR4/ThCIZ7zi
WKMdx1pAcxIO5jl0sCAETK3tL8IQoMvNQM+uUWWIj6Gfa6Yds6jrz0DQGwXkbZJKXyjl9ncBgbgs
nDOnfw44875kacDPC68TF5jFkMuC3Hp763f0Pe3SGpJBncfURR0Gin6t29zkt42b1/UswKnu1Hot
LTPUopsmiBSeyixLCQR6o6q2uea5gSWVm/wJhrCYGrwvEMjAeyPSm2umZ9GNXqEssnEWRt0sdVtq
RzVYT5FKG4vJJqU3qMZGeFlHwU1RhmBtg0sOWZZb6LSzMlT2kOQe5O7QB1bnZ1ChMTc0M50TBE+h
ZXIqdHcm4qnRxgu363KHhrF0wHRzoi7/7nOQDZl+jUn2vaL1XYRBOjZ6EXxhYaqc/8feuTXZiWPb
+hexA8RNPB4u65ZrZa682Wm/KNJ2WiBAAgRC8Ov3wHt3te1y29ER5+XE6ZeO6qjKJLlJc475jUHC
6+nixN1w20N7PzVVcumStinWlehUOo7/NcAs8wANzAUG0HdFa1ifVo0TFmSmF39MbrXUc74SanJe
rWQ/yvh58ZyXhpR9jul1OKTjyEmMtZGUeCxYW+CDYVUBWAa/YiQ7r46G5yEYfZtHVJYPmhunmGJv
KBLrgnxqKnQoAVFjqusJFbQzLGh11oce+NWpdDzv9rt37xfizS9gDvy6EB9OQRkOWjz8qfPql6Hn
3NLhVhft6zyk3uP6iMYi7bPxIA/MS8ucF+0+LoZCpuEp2PkFObCs/sOz/lPpQL8JVSB78G1iFEoB
+sAfH/XQDvPENfAERvhpacB31bxnaTcHBHJynRS9Yf5uINFQpYy6Fx4P7OThHkV132ZLvNwm4PNS
StaPIzTQnSbQ08ex2zG6foyhXKChckpgM/Z933RxSoZ+yWIt/NzO2Ma8UrTYr22x+GhUPJkJtmZ9
QFm6hslh9b10IWSPr5h4aT8OeCiSIDOtPAgbQPUJhlS5XTGjWiesLtNaVl5uugrbutA5XuLb2Sb+
vueiTrXPn/msDp7fXiZL3dShHWYmeNDipEcz6YrH39/iHxcRXFmkWEVI9d4S6Hx4835aRJKVzEnX
suHWNa3YYyFocPIACZ2qLEJVQVXr+evvD7nR5d+tkH8/5k9307EGsGfN9S1mcR/ACWZ24ipfdYyx
wHRRPUNzFw0dOEoohI0e0xAc1HkdpjKlTnhWFX1xKwwSjHa+sjrYdX1/ISq6d9n6OeT9x3au+ryX
fff/Jc+HsvtHFRqvFN7rf70n/58WHxoffv1T/9iSkYWFBgNrBb4WgO/jebil/9iStyQ0AmR1+4bA
jxo0PjfuJq6PiI5vKtH3TB/iML04hNnsf4Wn+N9RkND7/PDEgXPe9CMXMFXsbUTz5j/8vvVQXbjW
4cL0ndv4T1jsH4kOb9pA39e2E+lsgvLEXYAhXnAQyyLytq7ZjplozkY7sdTtQRnHyzzlGBU/uMG6
ZmUXe+kcjFGqV+9+dHsAYQl+l4xVWTSi844JHwhUpuZxiKVIV6lo6il7cXpXpa0UXQbpwckcG7I8
HmNRNIY46TDO/a0r26cY+vQlNqs8C0LGVEVQAjhD2UuaeB9o6MfUqDmLypKn6yCfSkkhLjvYB91B
H/suxNI28kLXmCfHQfsG6ugdiA0nbUh4UL7z6Ky1l7JeX9ZtOLuG/BOITJH24QSlSc2FHI7CO3vc
/2LK18HPxoQflGI8n80EAmudBK5I3eSysXVOVt0V3SJe5xWtlx2HL9M4n7yxm9PExQkNhh31QK8L
9td0kYWznqfRO9mAfgxFdFSuCNJkCd0cJc954MO1aq1NA0PBXlrvDttik3J3Kjzq4pb4sU5HzvUx
HgI3xTb6QPgc3CdO+dkSea8lxRi28Zus8kpvR3pFUh0bb+dHaC87psaiqQeRs3r20sGlZ1KVx2XC
WhcOZS6ofLC1RhuwTl7R+wDHqMY0IkpA9GAl7Qvej+aRj66fMS95zx0lUshO+94VJ13HT0GyvnoO
l/t2qdMRrYgwZZIrUtZpB5Ij7YLuMLuGZNHYn/CRJI371+8TvxVZzTzpXrtglI+U9TjwoNGiqbs1
GD5XalZHYpwrHvDXRFUqHQSXp7L2XobeXAaQKLlDA6CVs/9m5+nNxMuy06Pt0l5TdgAc8qnFK5oq
/ClZjZHFrpqnx5BwfdNS92SE+NCtyc3aexDjVblXs3Pul6VLtUvd3cix26uazRDV9O0oVrw+5qnk
7FNfxvQgfeA4wmkf2eqDDSfT+96Pjxvof6ChOmEk0KA1jdod1fIY8fB5KN3yZEYZpbVYH/E753MP
iRfTeaWKEct/9o3EMAOQGi/Zbp71l8yNWJR7LHivlRgys0I51VrKkyaTzawTx2m5VH3a6GbMVqvV
C3cZP8iyHK4iCpN09vvcysXb0al9h2pApHwsMfwWXqqJqnCDOlmwRkwYxNdg/5eRHHWlylSJqMwH
Mh3dlbrHnpbH2GPNPsLfkvaRv6RYFseUYoCrxbimqkehOPYH4US5UODmhRgxaGocD29aMGYANWy6
BGWMqhMlQOABtcE/OEF4FVCWlTbPnhU34TCdlI/iJRgeTYxCedXtHpR+ncqWramsvVtjp+dKhTJt
lvLaBtN9zed3tLYX3a4vmkFdrQEKp60S7wDTnQLrHhatn0YauWk/STd1lfLTpLHnWvdF7A5q1y5U
owiwFzb497VcmsLOXhGT7kQmwPqLnr4GIftYce8OxOItAMsrVGjoJkZ/YiyE7livL02Jjj/oKS1A
k3zUbYwp8wLteyTdkyqDG+t0qjANnhoQtUv9DjaP8FAFkfT3cJCTolRgwcJK5d92rv/b4+b/92ZB
5Ldb+F9faPn7Lr794F+7OMEnioHfUnxx739b5L92cXzWa/soCHpr9LRky6f+B5qPrR/kMJwBfoSw
TEyO/9lYY4dH/NYW0rUNn/+dpjr6EV7dvpkcwrKDdAGKFxXRTz/Bq3EzctoS7tx5Duw4Y+Vl2Iff
2Iz9rw6bCD2Vuws9sRsWDv+OW3XDQzK0zj2JjeNz8IwyfuAcknWagMXKJ+0N7xmt4uUzgPgxjUrW
poQswV70eF80oeue6xn/BDlhD+/BACJopqBlK3BVnZPsBo+8yK52P/O+abOe2G6nyrjJ5wlErOEm
SkeF/9aP+wBvBBk+dh2WGUiENF9LE55mGZ+EwKhj9odjWLbYpCZnP5HpU2uxTBvg2GmTSIId2xTU
WS4wZiVpC0dLmQTmlkp346gELxKEE++HZSmxs3Z+OtQW9QIwRn9J6oJysqaEDV2x+nNORquv6GL9
VC5j88HQcHn0vPdVADlRO/Vt1fMyBz98L9YRZBXxMFsRmPXM1d1cdZ91Ne8iuvCNC8VqZ8K5iKld
92M8VycJv1Ua+pU91ot2Cx32fp0Ci51Tal286x0lKW6Lcxf01ZKGWObEqFBXVMGpDyCR1EbZ+5WK
eC91UN9b496priwPSe3wjDkufghwabVzHLA+IFplgzGYQK80sLJJVxLLpLCoKHJNY2dIRVmucZpg
IvMY4rB77G+dW+DBlkeAc2bfalWdWOTQSxXMGstQwi51hB+WF6+f2L03lR8AGodpKaNXDu03nXVD
CoDVH2rQfQUbu69uAgR0dPi5YWWbgoG8a9xaZeXSfi3XMO+h194tbbBAlgmAdw+0zhIJJcYx0XEw
fXwiYedlRiyPpVhwm9p2H5T4n2SgmWfDCdrsMpMkrSZonSHWzokB0DEzCS4gxJ3T4seZp/zGv4ah
rnG1odu6OoUCnRFglnknmvE89ImbT3jQ7lAwRruhD/ubKFAqd5TaqwE4vaDrtPfL5mNj4nx0rZct
jtWn2bZ+2hju7cKA0dsaLbPTJl+Io8+RaO/VND0zx7/oLiZTSpzudnGq5YgeHLuqWg9OCIG4HcPm
yRUM/CJ9Gx17UzXxTRXE56VUSRGD6O/tUkRqBdRK7+giz2HbfkRhfBN61bktKc+qKWQXSTudA8IC
Q1nyRwCG/NiXzXEQ5lD3uEkUuHw3V0DLRcxSUtNXPkGOHqPqzhp4SKwEsuCMpoUpps+8qDkmY1hQ
fCS+HWg6q9rLFP0KxglLS7sDybXrgAO6RqsdJ+5DB12n7MQxNsFNMtts9sYlLccQMLltnmnj3pFg
eo6MS/GQJiq6Y9AyThAXvna99xCu0zGeaO4D/Y1A28OhZm9CB2YFY17LyN9Hgyk054CdQ3rVtXyg
inxJAHanbeO/jcnyEDg2ytu+uwCK2Tl1kHW4x/BJVFkACyBvDYoht0tBcH1el+UJrqU29WpxRM98
XZW9aylsiYJvBNghblWGhbTGLNW9b6W9XSB2kHU5SraVkEA7Vme/TvUB3zjPMMY7RNruHDBlWImq
zxGdssbpDs6UZHUZF0un7mTnYp931d7DsCAVE7+Ssckrww/WpXmrnLMxC4Dl6rVH77DUNgMr+xXt
ZMagzcG+nrGxeRuaN8WmBzsCRKcoU9worWb5EvZxrjGeRPJMIcchA7R/BxIKPHK0CzDHDrl9CGzy
1IiV5EnT6FTN7r6FrQ++SjyBzElhVNrRBIxlX0FzKHcLpkFA3CCy2QQ6XHn0veVg1+HF9cbTGtLH
KOpewMQ8cLPcTy28gd1b77plBugghVdlV0XdTrMlr3mwMTgZ98t71PYXZfwHSEtfPWfcZBTYFeK0
c92Dk5gD1c7ORTsoQnUGrvs84C+NWYKhfdgVzDE32p12eBVvdUJ3nq9PPltwQPQbHS6YlTqHMiIx
rSGf50m94FcFO4sp9KKDLsOb1OcxiMtFzq+QITNJnZtmVMfViQu1wPVghnpXOtgkyo71GRioOp2i
eE9G876d5McRctrSxUc40YoODstMjcNB0vDo2lZtMtfeE+ZlHtz3ahAPyvH2LLC7ik24dknB5XiI
xxBPZ7xHFX8vVXPTrRIjt+mxqeIDteyO+etRBu3JMO9SQsNJ5VTtwKNeO+Ye8YJBzaP3YkjOvmc/
dFEDhtadMpLQZzZE93rQd1KHD5NFo049/Thh3mY6JYFdYowWNucm5KeG9mjjG34ZtoVqVS9LPcJB
Ee47QKRoSeFemuFT3YoeecM6+Tx0y8kj6sYhQXnnMMzrOUwLjxpG081EcRpcN13nOTNjjY1HfAHC
8CzGNj5Cr63SJB4/bKIfCWqU+aDNK+9L1Dop5OEXjJ6OyJa+w3pbFe5Q771Z3wANx3vZwEy4ut6H
EoL2LvHrp3YYAZdacBa+dxU1FeDWu1QqMBuExgcGHH4mTgsuVWUGBrCYzxiQLSSvG1GEpbxaHu0F
syf0Nl86pyscLV7HIUw77H94AzQmdSYupglTs9KBuIcKoR7hTGiwSdhEHoxDvxgT7nTl7jlmr5Vr
C6lgsG61sCm368628mYZ+c0whk8qxJxyGAGFQYQbqzpzytk5SRLgWW/wnq5g29SxccbL6swf9NB9
nuhQcAFKgTX2ArB7yFoX2993qtQv1OofBy//UyFCYIpg1QNylISbCPSdW26ch2GYKuncue2hgpaq
6gcHTffvD/KTXvqtDPUxKQH7BIMV5uM/HgT2DRdaqufcWfppmPfz9MGqr9zPW1P+4Ui/Kni/P9L2
l3x3OoqpxVsZjkTobRksmNJ4mEUcVfROTB8rFWW/P7FfXj28TRjNB1skyE8nRqiaKGsUvxrn4zjd
9PyzbD7//hC/OiNUyyiWcZjN6ffjGbEotm6ydOXVBJmY92A8i6aEDM73FTpxMv5hevGLMwLtgKYF
CFqw2TZ/PJyRkSaLO1ZXBBGkld8DHdh39R/O6Ue767eH7oeDbP/+u7ukwVWGEcNBxIDpznAWSfk/
Leu/HPT96TS2f//dEcy4jlBBcIShu0Rzl9XqicXVHw6yDSX/acD8+2n8dGu6eqk70+rqah0/LcMs
qa5BBbQ+/hBWWaTvyKT/cMRfnRYi1yENh1GCRDHI0t+fVo2JaCWFV13j/r53OcSRY8y+/v6B+9Ux
MBwFUwD3LEzjP106FvpORM0grlKXBXjTWKpsbp5/f5BfXTpMohMw054fg4f88UTUXMZxVVmB+/NB
RucSnSIUvzRhj2K6CUwPWPD+90fcnqmfb9b3R/zpZpUJitnOW8TVtQ6GIO99FFC/P8LfDK0BNHzE
roZbfBBM91u7//3d0Soo69J67VWch+N4xOZ5QaRDEd6XD2Emi2pHM2f3+2P+8mZ9dx1/OmRp3NaO
nRFXE0F+4uBb4BQl6vD7o/z62gW4JNg5ETf5092KVi+Kx9YVV9YnGRxOlI5/uHbb1f/57gTwAiPZ
YPuY7s8PNsyilbdoR1xjtL4LJag2P1YBT7kQfziXX12x74/00wKHjlgNoO7F1QvfSnofssd+/cPy
9utDhHC9JzHepPinR63yakODlddXKe/CyaZ2o9en6A9b3a9eITxsfx3lp1tfD6YcF46jVPXnxjkw
3ymGYBfW8AaNV6cGfPOHe/S30yJItkEQjethK/KC4KdSgSQs7tpYNdfR7IEwzVHRrw//5oP20yEg
s33/BknDcUHLvrnOq4QXnOeLCP9w2f72LH87xLfEXBQ80Nl+PISwtnUadFpX3Xx21mM0V384wN8e
ZRwAA70Q7wmENwz3fjwAls4Y0+61vaLOa6cwK8WxEihMk7dv1+o/quyGsv/rwSp8tiOu1N+msfih
vxRZDE9hxNluLognspVMfymyiETZxpkQQ/EkfR/ttMU3QqaFTvdPav8fTCc+SAfnPxw5YYgqeUt9
+jdUWRgEfljstsHqRuWjotu0WWwVP60PprMahufSv9M2cDFyMcd5CfrcEz6EyKjfKR/a0DAu72OC
Fl7z4PPg0zMUjToPN0+jsPCPjEN5M87KTaUrL47ABkqRi5RbbW7tEGkIBIPKlJo+LYn8UFa8gNH2
oQ7EHiLmifjkoYe0ChZxAWPfAdaBMnuWLSzD3ImfNfSYrEnaEW5D9gy/wPsQVmpMwVabRba9C7l/
52EBSHp1ipv+WIerf1wNqASItjQzpd0jdgWgTvcVBqOHaebhSXK2Rx7QJwpNMtHrOwtLUorcJALJ
FDIcgppk7ncscy2o1Lgr383e9LG2KHuxqx7IhK61AwKftiX87yOmYFnV+bd125+aOoAgPAxfe1N6
qXUU5lgNvavaAfNi3t+J0HQn26IbnSrMYiHl1HBBDjxLXM5udaTcHIPANUr7YP1KialvTRB/Xitc
3I615T2BATEt9fBWwsRzEao5homD0Qzpln0pNb3TlUXKVDzjrk1lgKCmkWd1a2eYkiVEBOFFe1gF
eArJKjwENub3Lve9/doJnva8gt4iobYjbkClVevzwl0acfB924DDr8helFuQyIpYjMhCusHwCe5X
5uWeXYB1QobeIQOM7YLZb4qhHcFQKb8tpC/OMCLdrKO4q6V3xGax5lVLv7JVRKmI2wAdbwUpZFpE
4bF42YNPbwpXlBQXwlvgfOqT/SiAuwvkVu0TAvNoywckg8B2/QD0k+6nLiwLUGbi4LqM5cY0Pmgc
37lHFlWQtivOtLcRJCnUmzvKnTETy0zTRXG02zBzw51ZV6cQg8w9J+XTQvR1mlxZlA40QTV2n1QD
40hVRggQ6JPg1CUYkHFvC8BZt0tUEflx1qF4lnCupxpF3mGZkPZDLFfQ9aR3F8KBAfVmZXBwxrjG
gzMd6AxAtZwDoAnxVH0B7hbDTRWzwvDWObij2E1hUzAmMfuEfJq2iRxSzHCgVgcC4J2YaT4g8CyL
jIjuV8/eCzs9RHNbF5qgOs8a0twi+2I8wB79dZTrp9Ez5W7svAnDiWa4VLC6Zj7EyWboo2O0zOwc
ObHZUyaDB+JM76pEjU7ujpNl+5JYz9vU7M8z/qp4dWqYxUWTalr2e4jHT54zezsLkQXSa3KSLYmA
TS0ecsYm+O301gSDvUDuQFFJ6ZycwD1Uvv9sMHTN4PR7antxioW8zrHOHCe+6PAji8nNpCIDKah5
m6PxbAMHCg2Y4JzO03yekHNwSJIR3OIAWYPX7pngaGVX3hgTfO0RC5B5a3NxZ9dLTRK/WylSXSqx
UiDU7RcdI+oFSRBHJZZ7VIRn2F0QQ7JZYWRL1R6SENRnU8InsyibGjhKkNTUHqUGmh5rP9wtC26h
17d3k8MfG8s+umr60AVYHqjbmTyuh5tq9l5tHUXAOXykiGjFd97kwW3oIwonGAojNCiP1Wsx+TYX
Tef3CNeD69AJromNaapaTD1g2MJ/OboC06jGZN2obibhHuAghk4HblK4qr+rYEtKBVIiUscm+WiH
N82iOg1NlSPEI/oAg18bFkraiyTjZxXERzmFL5Cdw2PVeqkY1k+IO0Goh7IHnHSzK4k7wSS+5k0U
32LKsS8T5UAbnbM6gYvIKO/g9NFhmftckE2/r+Z7hA2ekawHvqJqPo00OcTSv/V4t3eCfs8R5oF7
mtnGw/8PX0uKcDtdTV91FV+RDjQWRi3HsQ1KkJNN5mCUhAAGB3sBdGt/uSnH5r5NnNyryifIX0UZ
yUM8NTKf2uqpqZBLiAlGKpmO0xYoLUPATNUgWw8jIp2QDOzRG5vkkmIfc5a9pkRT0Cp1k/FIPrjV
MBT/qY3cb4YXtCv/ujZCktyreRte9S/qI/zgX/URhs9bRjW8yr6L/0F98ld9hM8zJghHRdESuVtz
8dfE2qeIvsQPuUhrwrT7B89L/F8Q9UCdwUGzJdC5/1b0pb/Nvr9rBlEfUXSaACyjb0NzWBh/rKAl
p9hIDFV3rtvwQ4e6oeSwXAz+fDPFZsnmieiznYja++4K9MFOVykCbJGy/TSA9M21ow9AO8Ii8QfM
GebIT0VQ9hk25xXAzUzycqQOUMlozR1M7K49T96X4Qo6BtbEzLrrDSJDzkMYHKhKsOU6GLktHUbf
XGVrTy/rsMAtoWpzmJrxxFvRI6sgPK0USjUP4ktEgmcedhOEXnqfzHGdy6EC8Da8EmCZSGbg70wb
dumMBC9k1sQmq816iWT83jJEm8B1+pI06n1kzU1Se+c5bp6csL2MFFIWUiye5QDc0/GQRsTmm3gN
HqQUO487H0hlMw7aG2xdDGNQd+5i9UJodOuXrYBGZffGgnvBQ/E6NiBWpEXMpBOPRRWtZQrbeJP7
g40Q19MvmD7KqTCYQiGQqr0bZgvPG/cPqiRVCljqdt4wdL7O3h6+x52IejBgRsCRCdjXIevVZ9Fn
MnZP9bTsZoqF1udQ3YNot5TtsUKyCdyg+hpN8XPZM150wfISVRiqV3PY5ajiMWyTldr51aJzSWKU
vOv9YGW888rmZL3mrVxbJGOM5DkqBw9JHoRlkUruINuT24bFB0v5Y38blMcI4B1SsG6iBc5X4OO7
Kjaw3PRIrRhXUYw+Wtphoi9lhGpn6jd+QFV7GKxkWrfqcx1HKhcjbC6k93YNRSaFi4J6XA4VAjA3
JPnTMPhvcB68oSLnB94Ht1uehzU9RwabaQuxNME7P6wRXQR1AyOsCk7k/tSG0bEJPYTklLuBclBb
yE8qFmsJho3RsqffDDkynMZiNs591c1fkrWehwzTeZG5QOBWYACw5PenwOkJ8OrukEQbekXgKZDg
QvIgoAeykXVqsK9I9nmClzM3ui3cze+PRxfPUfJe+cbPyo3RQ+nXF1XCbVHHE/IEkF6BrRxU39ig
X/DD5iExSCgkzE+RP3eUSXRmRnsIOQUd2HCB9yKGJ5OC5tz5G0UIc7K7czay0EVEyM0C2BDY+Gd/
ow9HYIh04xG3NDrMs3Au5YjJkbMCJguAv3F3vVMKb4rY2EaEBFwZYMeydd282/jHCCBkI6OPI8BI
re6rIOjSAcwkpS072kjdWgb3sQFXmRD1JdANwD4Ql23QdkVc6zp3rIMY1Q3MnMMNR+1Dnm+jXHBz
Yv1INpIT+rQ4wmtRVAoz357hMTAte102BJQs/YVtUKgEHWq74CC90kGtWr5zeP1WT3hliMSQC6Fh
O53AjbfBpgmCf5Fz0jwh9+1rshGp3OK58zdIVUleBIi7gzMDBJzhvTw7xIYXD3irU7X9rTXIUULS
mSjiZGW5xdg/mxjYDj6AkS1nc8HQkoLdBD/bJNVjOeBpDgPuHYdGlDAF444jXQkZhct6r1gXIREC
LL5uzZp1AHX9fphQ4ePFKleMN0FdIF1tI3vNMgpMU8fgAB8x2rISucD4XZPf37eBf9MAEHaZ+8Q2
/swjBoN8EGn+ulpQMmoYBFzh3vBSJ6Gei0jLSGR6EjfTZJBjMBq/JUArmUSqRaVhZ+ZlcP5PTfCt
JiBQ/v51TXD7Zl7/noYSYoTwY0GwYeZg1OA0/aaK/FUQeP+F9RCZbzA0Ii520yr+kWUA1xi0FUSe
wEeFVCgPtcI/BROQZwjhhKsZ+Nu/R7Eh8frnegCBK0hLSJCSinIFf8WP9QCb0OiHrFruKnn1l3jM
0JAj4mdMni2cGKm7APNOiDzTtXmgS/BpATOaxc4K1rxEQ7pUGnFMYwLQOLmDZKQAvUafkrK+NFPy
bl37Z3+WXzHn3cEMBg8s5jdNh9eU6ghdDKKlXdKeMVbGQJuZBDyVfzu7PbiGyN041vod8qLXna8i
TKlBCRDCgO2S8KVu4nd8WT85jMqM1clh7qfnuhqvQxLcIo7U20NnfUR+37NSlt8yM57UbIB6O/rG
owKhW9LsWqtwzisIa7QtdDpOtNxBxGKgXuROls77qasyYDkpphK3DVINV8Rq5TJGN8sknGYrmlxR
9bueAqFDMlcKx/IXlVR3gNyjlFf98rg6LbAT5sNgplHdYPcPhV9lcJ3CeCsdUSRO+KFda1JEM4sL
W7nNKVZVkvfIE8cCyvY2VltjaPIGCZo50kUBvyEzyfemxwioS7EO4Tvw1n2d8WoIHpN44iNyJGCV
qbHya70+e/O8igxoXV/mIZJoNjsAJni3yBYT6CxK3gQ5U2ub9qY608gUtV72bmOhT5mogLMVIgXn
e+sGJotXOH8YYJEg7sxGkb11Irw0rkby77gibhx2Ikw5Zxhtp2eE+n2sgNGwEEBdo7BSamDt040d
YpFFQh4UcZ2irDuYmmNzSVzVZvXi3yBM4f0SRKe26+qsDZfX3gv756AF/tIGDx7617mbjxOxeysE
O1Qh9kunYgcM1bBU9/7NMmHXSBzQI4uzIJWxpe8cA6wq6p3dnBDAmAarOIh1yubjmoR16ios1gGX
eWIgpBikZlYVRDk3Xq+SsJ0/YYtxMGrAQP/d2jTvm5B8RXxOi+qtf3GpOktWP4Nq+cDb4WrLusrs
SA+1BPI8SNjHVXlgVsRZg8h0acdTi1jRjIj1xaC9lV7/Oi4VjObkJhEVOsHuQ1TNY878uUEamQRA
PjRPUzA8lzo0aTdhL3fj+gZgZdGtXpeO8YcegYCQyKLL0MUPaxnsXZ+9R6Cy3SPXIWun6WNI+QOy
K3exJ+/AEtzZzk3wjq3kLCiKzT6S57VGsLPPd7X8UtewtptRFHpme1XNLpjsAEkM4XKtojCn2I8Q
dIbkjzHWL+ukbcYi8grtTKKAqhF6jgwjr+EkRY37FK1AWK1qYohE8ZOU/AZczIeVlhcA1/c+cfae
W8s06ZMvrHUPbULxGMX90UwtHkC2oVS2YIK8hSLo8EJ5T3iMX+KxQl3N1O1YgcdJfNRvy4B49fmq
2AxPu/aCjMHemJdMhmkTIc+eIigOSSK2uS518lDXWFdKJPYfmSndov1v9s5sOW4rW6K/0j+ADgwH
B8BrFWoeWMWZfEGQFIV5nvH1d0Fq25La7ht+d4RfHBJJsaoA7JM7cyUEo3UmnffBa8D9lhdPq9ol
Q5Hn1r3qLVN0slUVmYfCrsUFpNtGGfOAkasro7si0z680YBsFE+ouvnRmPx3LdPgNrUjmqKjrJpY
PweNHy3qAo7emNjZ2ombzxwNCWkgiN0qLmaHYuksCki4THcWRn0zqZaeqI6TZh0aXduHrbYLgua2
8ruOwdvYyUmch1Y55Cm/ZRiXbtEwRZiTIlx2WG4UpO3StsT3dfk/KxKVrdZfP/IB9rb1259oAHzV
7xoA1YK4feidgJP+3X/++yOfNnDMDWx68bV8Q5n98MgXlMSCjMfSzlQwN5b99si3/z1TKiCnERj/
+/iimaDxswbAplGzhfYtem4Tg/v5mU+C1AeG6YmbeCqscTfJPDXeu8BovBtAi5hC2Xko+tb2Zrmq
De5G4YtFzCOLk2ILvciTIZ62Ml61TiPc2uSKVfuYp9RgsKTo8jdtnPwluuPbVNaDmxpB7Va1PCSp
D+fSiy5RCV3Q97h5pbVYdDaEQ3uckE4dlitxq3lAgGPu8krarQKsaG4gm0ObFQ7PifCp0+Q1NLKN
TNJqmQ9u1k2bsITewcJeJb2TXyciJ7nMd5x5uCISrEk6puilA3MRUXV6c6LqKmWpblsEXe5r+kVX
m+TUiilfgzXNXMaMHKJw+dXw/Lc2grCRYltsxk/O6aY7muVq9vC7SZqdBl08FRlWWVTOYitqONKI
KbhiCi1YGDnaymQ7FYUiw8GYwmilV9MnxqZ1m3cHzek3mgVPrcg3tVGvKsDHiNwdgjJPvqqbrbZg
rnuiNY66YGF1pIlkO5mYOFvqJxYB81qHSmjPcmGSFNsU/XDIo/sEPbFpsmtRqYcAnRGOIjROM712
vKXtLEWqQ1hlm0bR7LUti71mpu88PkmoWd4RqfsIGzeDEuVlco8+VV21gTXIa1RxR1/VRu5nV2Vq
xmKTakiPvhqrzyDcnHwhu/hDNw00c8wGod5+AJlaY1Lxl73NH4dt/8kpuF5GIJYWaTdsmzE4i8yz
V4hF47psgq+9wlQS2eMLHTH3zTRctU57Napir+bTS9jRXyLN2lhZvvgS6sO+V/3xNQnKeAHOD1O7
gQbUVd3CVIk7mdUVz+3WqmzlyCP3fgz5teDukV307RtvqAH6BRPxIdNtgwZdOZbOqpGjup2sr1qU
CzC4zWPXwEBNC6G7CUze2CccbSohiG1g5YVmAmLpqqWSBx9+XE5L7vfT2u4JVEajv8Gd/gJHYJtz
2WCCzYYFTGLWBvVEqgwzpAbvc+jxt8LCuoye8lw1KoAvQ0N+jh5ML/AhGhPRx91LoNN2IXhu8Wta
pPXyfcaBbxHAW25Lm2CAjL/WQXNTpOKtq9l7JLjY4jE627p6KKBhLVBwDhlw6IVuGN0yIoxVBTxD
GQd7fO+AP5uA86ruUNUZ2y+Tla/SBMdt7b8YsVEwzUoUrcCejdfmg6UEdwMRUdXpn8tAhLsicHbT
UB483y4OXl4/S+ZXTjJ3ipS7wLBvFKe+Bqr8LMR0TtNqG+d8NifJCF5oWevCVr/tOlYU4Gj9NtxU
UeCsYuygC64e+Vp39S7Qo/bWs7EzhVnCAN8fZFPH/yjc2neFmxPmXz/a3M/kX2coZn/mAOALf3+6
0dPEo0MF+fud8PmDwi1Y5uNr45n3Hz7Tb0+3uS5FVXnywTTBPk8q6/enG0W8AJstQExSGoD9/h7e
0/zl2SZgOWE1+OYRM/DR/KJvN14b1cmU6ZeMhY8ah0fLj5dGN37/iPylB1L/9pD8yVU1O5AIgyPn
4+UzfxXSYeTH7D/jnqQLV3ADklmsyFXMBVIhR1Q/hg9usdVp8htnbI9lXDxYOuNkQQJ22UOaX8WV
Fh+6ynRcsGjURYwYuBUTj7PXV899XRTL1A64yc+L+6BO7gp+4FIvkkuuhlwSVgbbt9RL14asvDTY
ObMUtg9lStcQloVlptWTi9GRZXecrT3ZremWadwWupNbxwO3IPGk2NbJEa1DBM14DjijLZGw75DQ
bpV0OCuKyWitzlMmizAaVnYwl8+9l4LYcLQHLvNkoTKFuvp8E+GwcAXdvO5F++TY1afuW69+Or5U
s5ActxZPqDG8mJV3kGCJ11C+tpy1q00dVLxDVfWQS38b2sJfJkFwwCjyTktVvO5SlTanDhpUkg+F
q0BmWCRIeWuN86aWEjSZRHQjbFh7YwKUvTBcdINXICUPVe2f8iFtF7k23lpluwEQuUU7VhYNIi3/
UCMkbgs6P9DNOwVlY8nsbS8t59Vp0HCBnrQl4MG6FfGCj7ZrM6Lx/kUb1Nuv9oiajvX6pHQtt8gM
h0XJoKGB9tB79AVSEEgkWriOteQCQztaG0a/mVJx8n3PXzSa2Dgdr23Qc2RWpNm5Rem8QpXc4kW5
zbNpdI2pfgwl6WcfnvLCaIgB9O0OGk3nVob6odKMtvD78TEJQ3MzGNONPhBfroOoI4NQfdES/Yve
JwwQg7bNE2cH30Bjmug3WFGuKeUYaAvyaBnkImSSfUxR8RxYdbBMZX7PczxyRWnF2741Nvgvlrrh
rdk0Q3bmI0akWtAhpg1B+ZaRNKjWk60049KUA1AWdYjDDgRJBUtc9GXmqla/1gjtsVauhn2SmBgq
RwKTHsqpML70qrMLTW3dTQjpxHGK7jEmuMfyu9cIFZrh/HgetNCNI31noARr+EiaeU1gl29Mo7da
rHzaDm9TyRMm59OI3aEDsVk35Ld7N+9jbaekJmfvvjvaFcOdgveB1ACb5roLZ3Ru/yIjq14NfnHy
Qw57dTEwAc8o9fpYRKDLmnrb980zTSGIvA6CSqTisc7J6HHJGll84Zl4SBRlNyX4VAI/CFbTMOIo
6sIvsqf/I+ojYzG02i3dBpshbz5j5lRQIyz/Sff01QrIwi4QFZB7ZTtK622I1NfJBNoEQ6lejMTh
xF3X19gw2n2R+4tkThVm1VJfI9mTwWyQlY1Vb4htpwOf0QLmranoNoYVNWtVwwjkd+I1ExpFA3nv
egoOcdEXmxZBYMz7lyqPMISM4rFpVPtUKHRp3M/ES98WlYdYk2rJ/3cb/ZmDwUWDh4zWXszKEJ+B
Z/3Cpqrr2hDeKMdLD95mITbefrjLT7uIjrW37KlYxTuW7gvvwCyF1rYxdj884C7fb9c/wqBnN9jP
N3F+vGPx3MGVhanwF8Ni5bVmp8h2unTWW+HtHLVZOMOrkv9/bKw/+zk63k4LHVgKDnc/n7jQEEkP
grS/kCGkTmqRJJ+Ov4OGvPjfv8/PT7/vLyevJ89AjXYygg0//5ySHZXZaoF6keahknDx2FqIp//9
M755UX990X78ZX75IW2gqrUOMe/SretHyA2rbqt+sd0ZjXGae/EWt9UKK9la3z6cbTdZnLtTuH6s
V97qGu37xRZe67Fx+YsuWUY3Xz3+73/fLLb/15s6g73pBSfqRaPbzy9CQi0PhxJVu+C3O3tXdaWe
tCd/T5MN2xx3XOxftM2wPJfrfmuay/TAMe2KEWkN5fC7q/cfjWT+AP/1ILlK/uXmFYyeP5FJ+MLf
BknQeCw4oOAYgicnu4wfBkmNItk5wk+eScPQyVv4x2ZkXpgweepUWXwXV/6QSbifAONiO8Iu429a
JXAV//Q5mq0SfB/uTCo5ClY02i+fo9L3BlPROhg9In/sZ0hHB61DYfQluVpXF0qjQHnwsHw2RdEs
HTMhfGYpFtQNrJy10mX7yccCSkdexaNOPLETtdyKk+2ywK7PNgHXZDrXuzAUVctGtPmq9JxuWc7w
kQgKCbU4kJ8HO+BAaD04kEp4qmRrOUGfsaCYcEPwtxVcExgAT17P4ayLirsqD6DDKKGz1VRCU4IH
oaEesASec3K+s3KgweSJtPVoIh0XUFWSPtyMM2Ylh7fCOv3Fa/R9I4ua2p32Tu38ZO2XVBqRYFYX
+CTfJTTpbTOjXCoqftZOPnzKXH5CTItcnIKtW0OAcQbjOdPzbF+0iP8UJb7pXXANZmwM/8wPJ0tv
YhNTmdFZBPZknj8OHJhX3Ho2MaruxoSwifFr7ecYpDxWv5NJxWiirYaZxpknxUbA5yTUcNvL2N+C
hrZRFExSj/3EUidUWF4oww0hVGMRwvwMYX92MwSUbFaO09HOF9mMCI1ghSZdvzNk80qpDMFHA5xo
C1d0mgGjtjo+2gm+xMtQQ0wrmgHZP+GR6BwDpfg6tYEJSaRDKI9aWpgGzHNiSoZNGmJYKcPI2RXl
SBo31h+weIF0oSpqqyNwk2IwXiaVQG5KIWx738rEP6PaFPtJTSsqQpR4W5j5qo/UW41FPUOGjfEA
x8YiVsPH2cmBW5FMvqGwPTZ8MrWFLAbXzOE9KEp+8Ym5s41Bg5DwCRVgSn0ECKnlYJTIvWgzXmKY
3140PBVm+MUy0qOnkFNkH0FIqGrShaW0b+xd2NcL40XRk1fGa5Y1vrUZHZEDk4q2uooPxAJXOLQE
wXUjA8Vkr0cKVNl3AGOKj9KzqKGjEJL6u7t0yr6qSW6vaP6SJI1HjH+xTwujEn1oUnk2dQyIwXCb
BM1x7JR77EGvDY9LDgksK1C5ywE0nOE9DFl0GPuUd8vTH/0U1SeovHvqzw5NxCtU6D7wv4K5Nbad
M1HQF8/qH/BlTYvETyLWlIzU1F29g9O47avo7BfVWvdmjJXV3fSauDVGfpfUC69Vre3ou1gK2977
AKRa2R8KxSSY2zzOxxU/MzE1mzdBOG2NKiVzCvGHHdozvAR7E/lKuohDdDxucyz9SgVT+Oy89Kjw
WnZh9VzV6d5wulNs0HirTo9thku4oyNnWRr9rqgIvPGBxS+tJLeYit9pesOBGCfVYpI2eenIWGET
tAFA5PUKHH26plRlOwmcRFGRRhQtFcuhBjGk45qe77jcpbR8FYvukrecQHR2guuWYLmvAlfSkM1U
XgLuSVdjlKeodT5MiZZZWPJBl+JkiDJaGi0mWLqOQZXPt7gqmGD7qne6k60TK8DLU9TposbB7mhm
sk0xwEAHxdCUNpLN3/DUTv6dpop3K0W59HX7RE2Gt/F9RVlzfr/VLHzopQ8EYdStd53+rZWWJdAn
ZAHykKasNNTFrBGuY4yWVTORbStZcoaVdp+FXQZN2Qo/ikA5S7p+VtQ7gB8On/qgu6mcYJua9teJ
EXjV4PHCwaziKC8BX4S1qaAx11P6lGLV90+T7o8wG7p8RVroYNrVvTMzg6qZHkRL4ms+hQ7eqs6g
DGR6ZoNNE2FXv8tGKZdTWxFZTM4BWCJW7K8DmCJt5hUZWbVPJn1FVj9ZtY15BU90ah1q0ORMO4rA
Htngj1QFFEs1E5HMnl0b/p57A1hS6FE1ADwpmilKMRYC/jXTszMDlsrxMTX7a9FHFz4PvAigmFKQ
TJPJPqiZvfCdmm2w+bUcYJq7DJCTJus9rX0HoQ4PGWAPT5gXCfipcEQGUZ+remZCWYnkWDZzohzJ
EjSc2VGZqjcL7rEuHJZtBl6qmjlTVlpz25GAnGcGlTnTqEBSwaWCVTFNkKqUmIatb+yqmWJFXkLf
4XIO4STAuMpn2lWswsykv0Mj5o1MMDOxvg0j/0xlM4Lor6eyw2eV/fdANn/N7wOZ9W9JkpyzmGV/
j+L86F1FVGM/pdMfxgqKldFvA5nJsovImqOxusK6Oh/hfhvIBMsuhyHKQgMjuono9zeyPRb/sh/m
euYxRwKDchyi4BykQGT8PNdbWuGr9Hk1ZwuPO3SesOJmHeiJC9DI2Vid/VZ7fr8u59wEG6hIKJTy
2u3owMjWo5dQpwuVdsu8LXdEiYuUI2XUqytu5a11KURV9ZesL86FEYf3ChgaB+kN7kpUT/XVRsB5
NRJzulJXRmpb9XRt5Tt9jioPWyJ0dTGRQmBy890SOuxc5amk3Jk1ejPrF3qzIoalgct+mFyjlXVY
r/VsCLV9moIovPNhM9MaxHJMXzXIKeD3KOEMrQzfRddIFwBitKE9rFz1JeaWLpbaqh9oplRBET5S
GdFq29gZ5bQy6nYk26c7bMyT1pDlqbA8ZVplolDqnVpM8tSOGCXcQs/lXSgldByeENFK0p620Yog
bu5iI2H+YOGX3Ay6DPRNafH/1EXmz1MvHLpKuDdHAKiC3NqViWao33WBfy5RlUPEX1+ia9IL2Z+d
mviq3y9SShAkZxOuKhbC6mzY+n25jMGcdQoHI6nyN+Yi898uUuvf/D/7YzjkM3rgR7KpCYYcZ7ll
WlzbaAd/7yL97+Wyo8NDA646w8bJ9P2i6MQp8aSh8awzy7W935Rddmp6fZTLKO2KguLKsJ02dl/X
1JCm/vCYO3NnVA4XhMxdFLwMRn1H8+boBnUWL/um3dAq4iKVIR6qmU4VCGy13IneDXy6PEuBmWDq
om6PUjwiiA1SpvJCzeMtgbsnuDRafG1IvN0Rhto6/cBn3Zt5QTVLy1CBIZXZPcanknCX4r+MWCcu
nheE8hIko3UxMxs9VLCANRYSO3rumvhTsntJ/evaY5ToV/WgeQ1dwnUQPrbMylTrxv1TrDsB8cI4
34ZBFI1MydWJntB935q3pi9GEiPZozrNph4yM3lQfOizv10GwNYaWsYqjDdw1t+DuS+xUsRZtjqW
9eGxDUJzaXBmUzrFVVKe0v5s6xZFobn22GM2zSwBFCx4wkVsI+XGGG3Nu9jub+CNsbtWwi8wx+7T
VnyqIgpXdcqLYtrN1TJixlNs1due70/gvYhfR4OCx7gPt+qEjFrOania2Pdc8vo6z3DsZHTxLoZI
3+JrWWRdV7mwjndGYFC/lWKgoilzgtcZZys9Kql1Vce9UehXT2/T5WQEmN6Fvs1jtGDdjvulMw76
buw0dPxW/aLmjmu3dUrPrelhma43aea8+UF+wBlzqA3W6qFNdsqYnDvLI0JEAzsEIuWL6UzrRB12
lFCc/QrfIelJt6gmuU2zubbGK742OeIpJiugQ0r60QfOQHsObCfHBJTkdNZWzqdzPl5XPNvNorFx
GZmRwtHOuyQOmw4fOqcfaLdeoSArMfQu1KEyl+Qh6zlh6QZm/txGOqhtv9k3vINN3a6x4IWbwSQp
IdUS714mdmk33gyl+aTVzdlpwnsYdPEyVOvH1A9u5x5PzNjtRvOlsmOuMhZdUN2OlndP/Os6lS2X
CHYxF+eSv3DCcHS1yru03rQdE0+hekn5qEolcFVRxJvRZI6cNCdZ9i01S75ZU8WkCpfa0mmPC+km
onl2ndtmvyzaDJxXB1SvFP2R1MEXeuKwHtm0jtThSUYFDU2qdaBZbbZaUkU54u3QuABcoUVvlVr0
69FpbpxKPHdKALaLT9YiGlO5DFrjazq20yIu8tt2KpZNa+FpoPnNsuaG5yzHsxx3Dzo59a0i+HR6
86mrTsLPZNQn5lfr2ezNO501w67Lsdollb5DyTFcQJLHoCM+KgF9LtVUiHVfRjehL6lgiW/TpDv7
kIHYy1j4V6N4FabORfezci0Tjvy4ClkeVcO4KDN532v0XamV+tXTxatqJB9kiHZlbzCK+3hCPUX/
FLXyWEeWs0zT9DEFmL/SnfZuHBttE8r0JR8FVLV8xLLHzh8/nCUGeTUiu7Awl0DpGoPyHX8sLF6T
0o4ZRdya5UlCQ1pNMQJIN71Xhv5S2o6xdVSsA4VjXaa2y1y7gRYmKuKf5JAwzgUj5jOP57vV3AVZ
Qz4M8hHEsnxctFYcca81Xgsp7pqUWt2eMs01w1DvVi1bnqgoMuC26rkjEbFi8fLZTQxNmcnhL9I7
t/NyaxvHmbPsFJEsnBZ/WorxDNp0/8H2K11qNY0tqteb53AwQwgg5cBWUg9cQy9ve7A3+9EmB6NR
6RqH2cD7FMLvNUY3NKMRDkFQnFKr342p9wr+DceQgk0Sb5W/GAw+rUUVfUgrQyjxomllZt7aF8a4
lVlV7vJCrGNCM25gyWRt22gz3A+nTRaVr5Vt0kmskNDDwcip+hoolGbjjHVgxs6GxiZ11oOS4VqB
xX2VmV6srVLbQYE/RlZI0ieN7A1SFoxpEudLrxvHfdC2X2LQyuugaIy9XhiEcsg44FPws22QZZj/
+pT3ph+VNY5Lih2ZrhY+xccLs+l2NPmyINNsbCImZbKJs/ec6aCEU0qVMRKEF09XGlhdIuF3tmLJ
41QjxgQtCSKO6JeiDe4z0Hg8ELVkDb45XLSBUoERaz5kScdcColuM9jsmEeNEjiQwtiSk+DShKzE
vUl14zzsoI9NB+xeR6DULpaVS0cx2cqIShXnE4pYaFVnx4w+bEJfSe2hGVq4oqVUTIjeJgRge1xR
1cVmaCpZAav9o9bGb3msXJIqvIshUC9VFiGrqMIHXYniM8FN46eqWDeGwAsWCr4l+WK3T9SXAoTV
omvDs+e0BJI0tXP7soL35sWHzMZbFg2R/whcEZC09yLROxY6ly4F51+rtHkBqUMTQnMuvi0sm/TD
w629ols7phE7eWxzm3V8yDpSV5QrSELVVZLwpFEER+Q+PiQVk4jgmWoqHTcwTfsc7Jr8pXe0vTHF
KTzuMUHhx46V2Rb+lI4YpzOdmNeYphCvxZI3dF/W2sFM0i9KYX/tBxQeiciZlZBD6uiT/fy6bvNm
U9MFXhf8aZ8rj2qkHif/kEbICa1FPid+c9roPai5+XZ0BEaVtSNSP39qYE7WstpPdY+4EvP2pIhp
EersMPF5Dj0d5UoXn4aaGwucCndh5POXuYF3KVnRKtEWgl4gkm92uGFye2UC24UDnaVMOqyVJYRB
nNdtEd7I0l54Tv8E7e8wFEMOKig6xAjLGyNtPgRJPt/C4FuQlVGtlLxQ9qgZPPAczilmoFHdZxtn
lr8PVd+jGNX0FilFeSlC50h1KUYHcmwtZysEdFNjcZ9uyOUiHekcP7Q+XSAAYMymXQqQH5dONrGD
J2Z4l3Ylv5qdYQdk7lzYSUhvH17bTFQ7ywj2/Rh9DTQzXPu9fTNq0SafNrUDBt6GQ5u52nC0lfg+
SDpcGUKkS5wqmyia8wAWg4wxvRs2INnef7dleBQ6ODjQewFvVvkGnXyuCu8ptS7Urjpw+dz7I4c5
JJZHrbAw2eMjr6uVvTX8ZKtDMIDN53q2UVwzWaUwwrNQEnCCy6c8BV2eq0ug8HW1Zy3fAzQN+87u
1nnSKeN15N3JVDNUXOGx4PUnOLb00ceEFxDqhljhalNocHZ8NLdcWStWhCkzVvp1KHJXpHHrel3+
TEaYA58N6qkbfY3W7ejBqLK7Xki8hgYZ8qh6EqFlEijW+E3DZk0+ZBdY4o1ym8sQOnjJLByIQdjg
yLe4QuJY0MDYd9oCy/PA42RkLlR5sMEllLx/83vHbN46mAGd4FhWNH8lhXBhZ567JrxxWusIt8NZ
ZIAANWd0a0ccqctlusmLd54tcCsSvO6Z/VCHodg3rfo5eV22mSKVxGRnb0XXXjCrU54b4LrjKLFg
ruld6WVfqj7dgrZRMJ7DbS1reRRlcqvHHXhO4p9mmvdb7rtHh3oeazR52EFF2LYdV3Sk8wPNii2m
gH5ZazgramAV0CM2hc6062jxa1wCNQ1u4gK8rzku+sHYmRWsBMfuzkqNOT8rmpvUjL5A4GCrqRGi
HcNz7qtnk56wJOvOQr+RqOn0mrtVpfj7Ts2f4t7fNUH40ljNQ+HkbPInFf7rZpDWHcaFJXMvHFT9
NSwowq0V7oypv5tGa9pFbfLKP/AhmNU3i1lwFTRFeOCu8CrSvHtKp84H+B4dyCHkbt1FOb2N06nv
RkKMUnsuOhVrQXzt++wtLmyCuTSapKPzkgACDY3gKe1ZU/yjuX2z1M0B778+0N+9Zc3bv5bJW/Un
lvH5S3871etEwVQaqfEgcBT/Vmv7+6le5490AVXpm2N81tf+ONVzXJcGZ31hgQmboWi/SW/y3wyF
hs6aVDXk3KH7d6Q3of3s05h3oXjW4XYLw2ShDmDwV+3N15KkMumpwz2zgNo9p7fAJQ4D6RaIINqu
9+I1OIMdRiidGGYWvKSOtU87yGxOs8mT/Gy15S4ylZtJ8Vaq4MaYRFZ+hMaa08RdPY6qeLYdns/f
2i1wE626Mb6XlXcTqSjLbInYTOWRdR18ohU4nCLw2Qm1AbnLiUXFi6SepyDsXGeixjSAwb3EMMcR
VW2odYUJO0VU+Gg+RySboj+P85ujmvmWdU7qKh4ZihFY+YhwuJRObbrBQF1i16kPnda4VjSuer2h
GgGX0VKCVWBpa35Ifk+ehnxf+ldTligsOtUBnxMmoQ8ndOzV6MHWaVOwn4Tmdxz4vB1ZX3AilHfk
dAFveGgnB9NU+qMXElDxqGkCzB09UC3JwyppyF770U1OKolZGWF8YoiS7X0VlnKZxOWDtPybotT6
BfayoxiIoxml1y5gybZupiRQeoQKXhcc+yIu2xNgIrzptF+sCbduWC7tzUx/TKPu1olgeXs85+DL
alvLKCOcWOGXTjNOfjadJx2rXWtBAwLd/Zw0ytJrc5bbYXFsA/aShao7SxrLyBcPzZJiDrqjcgxP
BfspN9Elnh55jT28z0YPvFqnbLEUqb3ulfyj1NlV6WpN9qhfiVLZ5Gp6TNPwRkvag2HADqAa51B2
fGa8tr6UIQsGO+alUTuKaQW+8jpjRorQikrjRMFsvG6geixL7n1bEvNuXCi4iZVLPOT1aaIFhHcv
JKtgy1ua4k9OkeSrauyGpUjhousxvmyD3Q5Gw6ZeRTE72qT3IGLX94MzBOsuyk6+8F7HEop0otiA
+Q3pmo36KMryNTIARGtJ5I4lyq0d+ldsbEdtSN3JH+hyc75Usi8AtNa8hrXc+SV8nUmax6atb8Jv
bfP5t+b5cUhgXnNSd+LiMfY4YHcTVOZwEqesjYt9RDN5Hqu3jVl9sQtacmguL2gw9zPpFjWxbJrN
K1U/5DSdh3m+H6L6jFh96eYq9LIO2k0y16NLetInqRDTjvCObcJvPeqCVMWdLqeTX1bIwgmgfT+k
SqM3JD9XbIqk2vTWVK8IvW37ybhU5kutaAB6W+chc7RFEsHm1TmfpI256wPQQsV0aSfa2LoQDKHZ
XonHLCpSbjrQefJ7CHxe6V2MujkCa2W3ZTeHvA1vLc1aeqN/NxVYC2XVggMdsKPqFZQqAUdm4/ga
bjdg3msjlpvED/1tSfHQQtcDG9T0bApt+eRkBQvwTGNvmAKQswfl2RLZ17xSv9BCEy9JxD9OmX80
tRiXXsnsYs6OebXyLKbV4t1uFSaIODiFA3HRUVUvKbEZTkaldgMc6pNVwbBSp/6zref9pBxujX4s
dkbWvWp5ui4FCYnQOtlJuXbqlDjBwPVii1psKBt7ygZME3GfrQt73HDgdtWiujhhclBltJ5qspZm
6Z0jEm8uRTlbSl6dPfUGD3brYRNlyDGgD2iqqW/QnWp3KjXqj4ZoWJWKfqJOJr9YuXNrjvV2SES4
zJKO5T6N0PpcARECRQNJ3rj8riGbzFqAWy3fgpIRsBnJtcokWWGX+Oo7HyHpwroxbmNeE54D6HZ+
lizgXVyAY4ET52TidTHgZQ9eUDf14ZJV3iYoS4u1YcLBu1G+hHw72yaoZs6EbNMHw6MDKWvD7iAU
LVvxho5bUx9uhwx6c4qYhtimua0NF2lA2AHeDP+BMdRT3NgmL+qwnUeCe1XriRRCWiFjCsxf8MCV
oLzTQ28jSQYu/UC2RGyxADh+/RHjWl4qNU0VJhplV5YnejErPjXFXWsOR6HW0VIxyk0LoMqMi3Of
Q4QttP7Gb4ZbdcxXbOjHNbu0Q146WwVS1H0wje0agspn7ICmrC3rigYaraZkMv5xlv0nosBk8dfz
1Cb5zP5kianyRT9MUrYJdwcOITeQb5uOHyYph6A9/5ER0LGd/TFJYUVTaUb93Vb2RzzBcIgnQJ1l
7ciKU8On+ncmKU3ynX7eYgoTrUjyPW2bAsaZAvQThnOsLX1obedGTyvIVqY2FZvqW6DKULJAh56e
1t4rNo3qanyLXzFCZcuJSJaMnGOVOTEDR/we460YEV86vfHXoxAs0wsjGebwGVT7wShXbedckf2/
wsIKlwSgkBf0jQKoyq9DtN9yowKwsgFZDYWyVcLk3awgp1lRfvSj/hrP7CvZVC76+dZSaRZmfUB6
t1/CT1O4lscNMYyzjqIU6hC1+pmt1arjdpxpW5mivUfgtwYqtHaVbT0XgLmmqv/gfHkiDpeYMwJO
vjhwTZqZ54XP6bMa7Zkfj/ThEIomBFQyKiprXNDZUu+0LTU4h24mhfUzMyw2lIr8oJXtVMPmt2WW
cut8emIDc7Jn8lg/M8iqmUams2IJBKw/Aw5BNRPLtMq3VhEQMxuYGba8zi1nvpkG6CwFeNZGESpq
fjP8H3vvsRw30kVbv8sd/1DAm8GdFFDe0ItmgqAoEd6bBPD0d4H9qZuqVpPR8U97KgWJIgrIPHnO
3mvPJDQp841VNtPRoEFuxcxLcyLgWwqCck8Weg/NDK5aORPWmCVkVI8OivHxKjOSbQMwaIFp6fuY
YTmXZ1JbXfjoyRBha8H4jKFSgIdUXltV2ilg3kQ7HuKZ++bPBLj+jQU3U+EA61JQzKS4AWTcBDou
k3LxwPe5b42nKTOPzLRdwCcgx+IdsWQ3YmbQ1fgyGw/ddRUeJDXvaAtECYb+Mk2LEDxJmzhgTwLD
2qaNrXOC7sN1ZNuo8PFqOkcVj9eOMNp+TVpcseW+UHPrc3oNQdrOjQ99zXHTURlQfRWMV3qDvCKK
Sj31UoIR1gr+aKSKea0erDTt7u3CtDcE/ckP/x0v346X80Hsn5fDTZdBafzesvrlbdSO2+//9//8
sYzOP/fniqh9mSfCs4EYsPkbS+TPFVH/wlqoGMxKtdkPzAHyf2dLXFlzQiZ+ZA25Og5D1LH/O1tC
cyWgU9VxP/2cM/8LWce5yla3VY0g3VlBgnUM8/Ov62HbQdqzCkNcdvIuiLFMXhfN+t1Nufy7yv8P
19evknUZvQiJsiAUTNTxs7Tk5fkazn7DHfv/FKRUcZw05aUm8EY1C91ocEOEmpprl/DRK97/whyS
q6mITMINwtB6YIVQkytbNkY35LCm7lSzdJuh2FbhcIj8dGlq0XKCrL3o2N3HMb30DclLC2k7NpQD
VXHTyhhDxhBOSGVdD1Gz8ccK3EA2rPKoVTxDr3ZSSQK9nXxLx+RZAvLZleUW2OEDclLao1FIrdEs
bRUSfQjxWBnqV3rF1N6R8FJWLAQjOgcufBmL1hCbqqdg66z4jvzDSmtc/ryHwJS3soNlRVPKXTXk
P9LGIVd4oEIbsx9+CdfIzkryueQBNGlTrzDHHnzyszw7n/VngsqstORvQ5PvNB2aiaLnt70S7HxV
vasH3m41au+TbGxImRIvjanvRr3OV1VcHvNwEJ5TWZpnRL7h+kV9U0dUU5ZO4mUwascsQBndNtpV
KjAIT333IMXaahJU0uzfIEHV9jW2yMaxI7UAKVdc5oW+t0StI7qrOJ4lFWFAMvRXZjGBO8QdJPiS
9oPSEy+kl9O9khVMoxlEF510bQgJRaea3oqMNBPHTh6lqtYXqii3jtLGp7QViovqdgfqg9hShZw0
WgWHoH3R4mLldPTaM6G6+lDR8U7ze38CoOtXNgO8QNnVNgnYbW+tJ8t4KSO0lmKsgerpL/Zc79tx
9GpnVOqBbk9e1Tq3SKpf9Ui4chX9iCqGrkoTb0KVyE9lsN0iyC57tfmmxLHs1jpjdmx82zRKmLD2
7SqyZz22hjtHb1oOzZLsuEbeXaIjvOuDDtpoCiVfC+tZC3ATDC2B31bQubmPWhSt0xIc+HKaV2fH
jm9U3MAoMGkxO/19ItMBjUbzNY6dJ45DM/kKP5E2JCCrfNA+eQaSIoij0mVduQvG6ibXjZLkT+0i
SC1wG0UoeFiHpz4mEq0UFcgywf2wrOkxMX28ZezfnKF/6Ar5X30t3yVBSt8XmNYg2RFK0pZ5oPTa
SvYjsFokhEnoWpqCymPw0bYCajWJeG+1MdmWb64kQtMrf1NyNxzsjdWtEYhpQV3BU+6kyV0ia87W
mIhEMDVxW1Uqe1D5I0NPH83EjbQovyttRVeAoR+KTKaTiQA4UEfxva63Xmr6xDOZX+c8t/UYjvEh
I1Q2kqTruoududJIK3CkGe79HhCeZA2FVztl4TYpSWCMyIhjKnF8aUcdWAK1mEQd1rgl7+aMXTs1
hfUQ2sYPQm6qBctahcpAIYmoBPY87ilnn6Wh24s2gmnXPQadDhls0q7rXFlCgrsuFG0rFOkabqtn
SsFXNTEfG9tAKSOTDRZcYhO6HLPwODXtihQtl3jL7zS/U3r8sZc0bbIER+omENqspgY4wtS0LvuT
hfu7rpIUecXkoToRqG4Ye8S2xOxbuhjb+msWEejnq82PhtBStRrupeaH0fEk9qa10vTYylwfuzny
dl9QxMbdKElLejbWVyvoB5o1terGAb1Ewy7b8pRo2kNW6MDeJpI/+zyQaRGybi2SQi/HRQYIe90S
MeDaKXWZrWVfk6pZ1a14ECL92lTSI7p57UrujOmSDa9a1Wn1XKngUmrt++DbF9U0npzUCWYSLq4L
ZqheVPUkR8Q0D+gKOLd0pMZjkIU3URB8Q70huSLp0n1N451is8WMljO319vwMQdaI4nwNorgMzma
tOv65qFTiomxrZat/NlgSGRbA2GXvcd1EtaATkoJ9OvK6UJqbenWjBmBj6MjlkFNYipveXNP/lbn
6a2VbXibba9KW083+35DE1KsmfSRM5gV41rkhH/1KUSMoEUBwUjT2IjUUTbUspcQI68bPZyb/eu4
nwtUySeuF03OZCq3lNoPtTLcBEZtbjH/PhTIGGEfTf4ncTcUD+9OOrMZTcZzac877hxtMR/S3m+6
ZtqV2Kqr7rKwodIpF7F9a/KpDU4L8WemtF+riPlanPTocyt4z8nitOZT17sNvmmKoVXpK17asLmS
r9VItNgnvrLPLjH//7tLADxJU9Gl4rLkxSQ3ehH2T3p583Gp8tuLOBw0LWorhc7XrxdpwiQZ4lyI
S62+rYrDIJFmu/34En//WrhV7y4xexXf/R0tE/FA0QdxSWRdVq2mDAyLuMit53j85EqzQerXquvX
K82f5N2V0rA3MhPk5GVFlqSSI/1Rd13GIGrZZ7spm/6YMf2jJ//vJkvFBi1gAN7VNBg688d5dznA
SiTmtYrgBPSg0LWyzNsg3I/Zf2eN/50ZPhxlbbPyRx09p785a7ybYykcKGYnL7aOtw4L7+HPs4Zi
flGARlgsBtpMMuanfs6xOKBAJmT+BZr4f9Ovn3MsFUk6iCJLp3PjoF35V+pU1K6/PJIGmlkDDTsz
MVal+dhxtk5YYVXng1SNx0FDMblSEsZeCKRBLLzK05QblFokpLO7a6jbpk1hJjRlKZdjVjBTT659
lZmzjWtkUyu9NS40U30h4bRxC8d/hudww9wjgy2Gp7+aTHWlGbTEOUg1x8I0X8PSZsfNVGCGOckC
SInA2DRQaVtTWIBPFeMASS3bSnnaUu6juRrdwUSBGsdBfSqBQ7GbOAd0gMkeJ0buNaUYVxAkIMBV
8NpSWAkuaAb65KhwT3o/7hIDpl/R+vssSpNVIjlMqGku2dTWJqyxBPfe4FihB76Q6TA1nqskVulV
AzsiTESs+7r0mLJ6l+aQ76ywu1XMUKbYQW+ArqF0A2eUTnVsvoicjb4qLGVdGPHrFMdPiBdwAem9
kjEdhCtU6vF4h2bHR2QX0m3V6CiE8Y82mNRHyl70jChsV72ZkhxJtC1BBAUj+IB0qT12KAVEoizt
9HKQD0aUt+sIbMMiAHl3qOm02vBxbzgJMWsYb6USEHOh51Dw7OLKMhFfgZoADCTrJuUpp7gpQUei
y4IeFcr7gxJ2NMTHOjQe+zJAOCpryb71R6Vdk1swUiZPdW3WFyHfXU+kRnQcFWr2hRQo81wm5jfR
zXck4Du2U6GepXNibMt2VG8ltUujLckX067uc+ciwjZFmTfZCDzoQ2v+hYPWA61F4rz2ipMcVGSv
SpBNN3rPPu29rf7/KetnROo/d0q2+fgbXf38Mz+7JIrxxYTBCtOFZKFfdfUKqeGOjNuYVBlLmSNq
/ly5LJY72syWaWnsOTR0/+ySaPhisMMwLKerQYvl3/aNzyfwMBIcbf4MIGM1nO1nmylpyKUS9FZ7
yhIzXBWz52QoMs6SV6AuJqRMkRP6k7nUw14OcVH1iVgaSotNhekOIayuPkZMmisbLOkFblYD+Y/d
CabYC2UwKzIRjDTU1mBlUPAT6ppGsJokP+5VhuNOkT9Ntdnpl1bXOXXuWSRB6PvBMATgR0Wq4ubZ
mmCIT7jlAI8jcRrq3mk4iIf1Om5K5xhWcrgNiM9ZVELod1XBGNrGklZ1BcE4ehLTWqhEvydDbCRk
NMpPVpp01+CxxDc5N4wS03AYfOv1elilDfNh5mAFR9mCsZhk6CsMpCGibYWpuS208UqxVH+L7E4c
k9wSJ8Ji5/lW+VoIJP0IutT6maCGxk1b9F5uiGpwGxpxe6uKCn1YmBsvIG+ddR+mgg4AUB7mwetU
0rVre5LT5TAr49NOHnR0m3SDjbZFbm3K46nGW71KwBCt9FJBptQ0mIppv4DYm/p2U/kyjjalhMLj
OKH6pE3MRcNpisGhq536LeGMuO+qJtiOtG4fNKMhaVhVUW+WHFwmO+suui554Zbm28oxlRulARrr
xtCXjrpA2mpYRXgaIcF5wWhEJyNqmrVDMsoynhz7NFWcFLIq50Qygs8LaUK/IAtLD5gMm69dVnSw
tOMc+3qkHjVNSZGqh02CmNunrTJU5hUNAWnF2tdcapFWeii1ij1iTwbTTbJDMzlBZZHsVWWMw6vQ
w3Rjl1mwG4pI57PFlnSMfFMGk9RAG2I6S+uqZQmvRjtflwFqch339mIwaiq4iVy0XVpL5lfaGve4
19WDKtnlBR/fJ3Qalk5TqOgh6lq+GKcQsgzYtW0QoRNEMBFz3C7H67C2hdc3olqOUTcsg37yV82b
Ueu/lfUPidOHPeg/JE6L5/rb70VO7xrRAB9AY+sM3nTHmrHWfxWHqvwFUyHBFKqhglp4XxwaXzjU
GQ6LqfNzYf5ZHFI3mqpJi1qjhMJe+K+Kw7n0++u0MtsLZ3OjipSKRdYxtbMesRYywW3HTD+F5L03
p2F4fLfh/K4LPffgz66ANwvOjEaaLdYoiwr4/QGl8xu99Y2hO3WTsWTO/DqWOlkK8TUP+2tL8HjN
5McD+E5emZRvVcvZ1FW87CxWEVMyizWg7HVu1RupkW9jYg14vr9LqTInUx46xncuzRyxmML0AmSi
kRy0vq3oyWUA9glK7LE8qZprhFU2gtQep2YhZGM7hI3/KgyZtx2bogeFzCLYIEq/V2rqA68A+qM3
FIy1HEgPMcIK5Cj6SxcO2apVrMAF+VzNJMs3pMKFVVoSqqz6wakD3I/qbBzXdXEZD5Ramlq0K4Ve
/GKsc9Bn0VOiqgfqdZbCbDyIAPNRmhebPG8nFusK4H26hpp5JGhKw3CdP0myYL/Sh9cskS7aYVb+
ZNO06nTbC8r2xopRWcqoLkBpJbK0yctu19Ljdo1uvBoSewdHGMfUVMNlS3aVZT37Si/ww8ebAGRm
l0TPbePjXLd0ZgT2hpryQiLj2sgFEGH1sUmCHVJWFlDjoOcV5Ee1P6ba5JmZtqzLamMSOE7h6XyN
o4mAtyS9rH0S0ZoJc1uE1r1SW3oH8U6X9Ns2VZIZ6pnQYdNvIJoWYN4GUoLsaDvSUWS1pH3ox+aa
DjEh8jPVTHeWArYb38VMQGz7VRjkO469rqP393qh4e0wTmZDA7CdLpJIvw4zIto7P1tben8MRb0t
RsE2HKNEhh6WOWID+uKAi/bGRKayaOP0HnHyVzLL7k2/WxU1/M/JWElD/YQjCt5H66wlrXks+OPV
MRtAIE/fobHPOiAX0renJcMBB7pN1AdQVH1EH9jaTGJ1y18EpvXEW7CKo/gx8NG2Dw2BYFLX8dhU
r2MRb+zZ96aVT10tP0qSfNNYs9DYj71+cFzZSL9NiX+VEN8Etjk44EElxhyj2kKXLNQXjlthkACE
DmNZzrJvjgKLT2Iyu7Rpyh/teYgRkcbiSSVKX8O8iR39oSubAHAFGj6gq7w9sbiRlXgvdUjR1YoY
KAPkBEEexvVgA5HtRvqBsA5mujrIVictsRbokb8UjXkKWtVcRob5VTbtgNGHTya306Jax85MtlSJ
xsXL6t7H/DhKWIfjqI9OQx2x/5Wm7DncCtr8JaxWCYlWzIzWw39fU2hI8rKdwH7nrQ8dzsYGgdIK
qifpbXY4qpz/6j1AlotSL5tt3jHfUTSmPopaNRtaJfEyiLqDSQW5aJIyXyuTsfaHCVHkoCqLTk/L
ZdHOiSIcEy+sVE7Jh5GaKzSCgev75YsxjV9rX3u2kmrD+naMEfu7jiJJ3phKBz9RZVwm2PYS0xig
1xbZTWF00sx199P7LsmvRY90gDzJCx1KCyuLi3XCo9ruvKLM91ZlsSCiGVesOW2LWU6JaYY1ahfQ
109RM8SE35DacUhjCYlTeJRT+T6p0T0xNhQOhIF8SJ702DfgurewZn1zr7Qy3jE9sr6VQlJdwghm
o2QlsttEycSKvixktCJytQlNUWhPCeO8qD5OdnLS1BI7dXOlVCYVIp1cKII5ukjDY8nbqorfLQPN
rLfp2N+ZUnnLkR6s7qJLvabuwuUocBax5nTAac3iKZ+nN0MkvaK5k8kEREHL5XSvxpF1gfyTHKUx
sejxxmG/zlHGrln6w3u/4gocHm/zTIuoAWVn1411vENZd8ox8buppdlbQiHDhV5Yt0ZV4CXRCWti
xsWoZNR9n8ja6tb0x1s7N6YZXYdZriualdEFysISw6qlVsPNjtC+GCtiKfnBBUGK3UMdpfZqsMcI
o1JEwhnM4BYNPoTxRJQrzc5qb8yKR7Mvt7mIVoM1LruGVKnR2iXVeCeH8bJHabAoyvCuS1UQxZWz
H8ah3xZSXHuFn0JBwn+PblR+pF+EeW/Qq4fOxMdaFvQGk5AH3SKaj5mT9qDOwApfNYYVOjyHSYL8
GdHz186QTX+JCgN/j+ZYYKcU86xbrWYZDaMgzk8tljhjmLaGKa5E3aw+rgLeOrh/lRk/r4MICDu2
xmt/XgS01kRtHuanLE2PpGDcsSpd2ln2xHJZMzJ0+ALGdNMPJWFIyaZRQyyNKu2afM9KdTD8Bn1M
ckW+wrVZyUst7Fww3IRH+T+KzoS6yCugT/bJlIPnjz/6b+8QFAeLfGKDo8yZcsnIuiJqnSQ/iQxr
yngrx5kbFn8kyfxjE9c5axqjAkC4BVEVcgn3iAf91yKpQdjK4aXrT2UQNoAx9a1WsDDIPqOeuO8R
Dkn9g4Rg94rQcW905K2whb4oxpKFSqOHFGf0/qfuqgs15yZnV4K0fZJkZuQ66CnXIHVhYRTBKYLg
PPgo/oTKe2NmgJ9Gx5iuDSV9TnBQEl4QrSdB3EWjmMuQyesyabUXqVZXM+CB7L4KZwpcDLeoNHJE
8X6wFVHahOa2mtQfkQ7BkUN2N/vUBys9jug0mYGOxGAqIj7KIdynaehCLCPIOkMnRjUcBV/9Tslu
K0FWkqMgR83mdCOzbDcYpEgSZItTZpl6DBIHyfUFLc+coCJG4IqWHnz5udNXHXIe1sVHW6IjZyHm
HmP9MdXqcJmXOUp6E5goaqlJp/QYeM08BsOFN0jZBuYTpiBl2HVy/5xEaviCfHYtm1UGAyY8qsXE
OLCpVpFG4EeHQjMzzfTkEDaqmNOwr6zm+PEzR2r0L0Uz7wvPAy+kzeNgy4qDkeGXopno7YKsLQPq
h6I+a06Dirrs05MpMVpjPX1CtIkvgB6pYmI6jaAisaIeuSsMgMPE2qhBc2xR5IpJPRqF/aDpebhq
MqNadZ2M/dpQwRIxVV/gwrKXcqFnG/jXpYetGrRuTUSLzkIkZwWZuEZ1E2SkwClhU7AbdM2ipZWX
l/iHs+mlLsxnh5hjt1cKy60z9c5UR2pncBwaeg8TZbdbG1KCqMJ8iG2Tpqj63bSGeUTOMgCm3MyH
W9+JDxY48arQbrCl8oTgCh7VG6OHEBWHN5zfrzPLWZtj+2BjywKBUMhLGjjUglW/bDrRk4FHi0OL
STn1ccaC1XqWeCbc0tEeFU16UMK+QoEAKzS0ZKCr0kC4ZoFQoF7Lcrx1OD6rhbVgN/L0hCQz2xZ7
C6WeAIbHNg9tPG1vYdyfHHsgvGt81oT8Umn1c26ZS4hex4S+MQ2oiwKpjJWbK1Ho+HNJVYty1PVO
dIUeP9mO9rQsmnFppj5wdQoaAMCcS3gZe8m5ElX7GlmST1dWdvUuXtEmwHnRhJ6Kr1VRzIOJdjfS
Kr4luqVLBphYHahQkw6pmwIvQBH3RdGSswl1ONQx6xcrNZH2Gbt4KIKNraT0epsVAr3c2erY4GeB
QeqLFRDpZV5nJfPaitw1wCz0y/YTZDTLQRgiFLCtjcyiO0HxixV7YQCHw3O3CfJ2H4jqkNsGVW+b
ShdpSSjAmFo7PQAaBgMB+zGoAK2MFFcQ7RuW4ig1nBJSABkECxdwkl1fwO8kQk1Qx5yQC5mY8vWN
b/X3pUw+WSYfTQMFB0nVhzgUTJh93993Khi9xlAUJJx+vhY9UHXqhk0x4lqBJrupe6oQq5gHYz4T
OL9WPtnaPnlTtfn4+27+pobOGDtl0p2g8aFcPGLldgd05r64SOqjwonl47XhbJB5vjJoZzupCgqR
0wUrQ1H8UKzv/XCNSDYPHoS++fhCMzjl3cH9jzXI1A1dBUVpWbpxNpUVTdtXsdwPp0kBUIi2p5ld
t7dGExTbsJB45giTLMtIhjQtK0d7hvGbMTLZaTb1CX6v2yjSqy7bV0OuAXfTuq9SVFwUsnWTUr5x
6kEGpc6+P+IsEPRmbfRE7Oa9RNf3OuhwMhpEvqyRf+wNBLIUFstRkenp+v46bzXr3lGdm3JCLa8Z
u05rt5Gm7oFPbo3SuRAJTgy2bUsiMUjFNAFxGIi/S3TBfVbWyyj1t6IkKzdFAtYa2fMkj4abiuCx
Gpz6Xp2DOtRGCz65q7/2W/5+U8/m0OSJ5FHt28PJHp7C6dto7z7+1j77/Wcbhyyl1MhBMhIHdlPG
wAO1u48v8Ld6iJ3p3VNhnj1/mZklcgIg7mSolxF6Xm6THI7uxxc5G2q/PeSMPQGkKqZi2ObZozdY
jYAcwV8BQFBtX1qRUZPckbf9ybeh/vqMv7W/NMtCs03zi9JUObvQGEe5CKaSeIuF8sKm5t2mK9+T
lv0icu8X+eJ+a7r94dt15IZfh+Vzuhy/8UY3m8+QzOrcZ/ulQD7b8M8KQIcJJ51ulpF21XuyKy+H
m26dXRHNtkRrXK+UNfd5hS1uQXD80vHKfqmf8pePb/ubIvT8U7z7co2zcUvqN0R91Nz3h2GrLq0F
FulLa3HRQPb21veGezC9bO2cwtWwyW+MzS3EhvWwYd1bTOvCWTQerTPP8Ugd2eTr5iLEtATw+Gux
6E6yi3Z+62yLPVPku2x18/FHn20Mf7uB7z/62Q2U1CZKS8LLT8YCROeq+VGuylvFY0rp+V7oRct8
le2K9eXLYdltAR8MbrxjPrqDgemy+SyR43/33a8ffyr11+bn315382x3QCbV15bJpwq3gNXcaZOt
/VvgholbwN9Y+IvaHRfp2j5VG/WJRtry4+v//mX96z06W21YaqSRacBwkqdiaQmxJ+sd4Any14+v
M68qf39u/rrO2apjR+Bs+ykdT9TUi168yMNGmN9GbVnJQFnL1cdX+/1X/efVzg+TEjgjzaji7hRa
CSe/6zK4+v93gbMznzbYqWliKj8lxl6N6QM6lvfxFT75Yt6of++qBjJb7dwaedEKhJBZsipV0uTs
T76Vz+7T2eLWKGkT91DwsTrwrUyp6wzxJwv1Z3/H2QPWFVPT5U02ngQ20shkTDu4+Aw/vlmfPF3W
2apk+oE00pxjNxjg0TqMedP2QtM610J/HQv11OOi/PiSv/27ZlM6fEeN2ffZJW0gdH4Ztd1Jh7fC
YFMLafKtP77Gb7+ed9c4e2nSwGkkEoSGE/F+9O+vsuyTrsJnFzhbEqckG5BwV/1JZtGmGQ3g8JPb
9LY/fvTiz9vau+c4jBj6+CnPMWeDReUCedgkR44I7o4p6zK4YMC+//iunWW5/1xS/3z736xm7y6p
0P9jwB+yRz3QGM5ZVRHVLEA3PyuHadsvLkkd5j8WxhJE08K+khbX7XLe1S8fq0ttx6md6Ceithcb
4Mnrzz7ebzfy96XL+ZMT1UJWfF465WLeyKVFs071ba64i2Ste/f5Yicvxv2r/I3DWX037hHMf7J6
ER308Wp89r33UmOGFfE7p9brvclDhqiS97ZPvWvnZB60dec9qit/kdOxXdVr7HCu9MkK/dlHOKeW
otyWdLCi7YmAxgVoq2kRfzdWimftux/DplxmB2uNkvg1eNTcYZ1cENj445Pn5Pdb75/Pybk4NiEA
mlw6Hs16NazQlS2iuarbJu5tvx22W4Bdi+kEn+ReXhVetirX1iV4Ga9bhlvoyE//S0X4xxbf28Hs
b6/KX6+7cVYK2BIIMY7K3ala6muTHD9vWE2r6RDtlcVLsPVXiWtvydJbIIB1rbslTCK+onadrG4i
8hugCS/f7tB/oiiFhfCfRVH72f/0Gz0nP/SnKsr5gs/LAP2rmKryJn36qedkZM8pAScrqinUTewb
P+Wc5hcOLDTsaKhzYJmxvz+tY2+iKFRRloo+1EIM+q/MtG+94L8epPnMwuQfEqqDbA8Min625iq+
1hIWZBknUuW1+g7mJomMbj5mihcSe0gSAx7Q6NjYifZQYvDC8yrSK1nSXAegXwaIbGgjt7Vkn06u
bTZkyBc1y4TVQ7nvjAZ+b9P4O+z9IsSYUUzJVQFVtIQuChH9aRBMc+nyn0Yzrzx9RpECAQALWYXf
6PKYIC0AlqJ6DeEFSCQCd2ucWEQaq8noCTinoeI/oOOBfFrIMVC39I2ImhD37mYzJrU3aiCJXshv
Nd2iG9v8qEujuRnh7kfMHAHWp2IptySB+XlffqO1/RT00EVaM/OJnM5XzYDBqMjiTRVLmyjC4jLU
+TdZq2O0TL5GDzi7iwLpRT2W+XgsdKj9bPi4myZ8Iql/q1T2VUZ/0Rn7dTxdKa15J/rmnunmUge/
5/zR7v3vRZyFgf/8It5EP+rfEoLevYm8brguCbSxcVSA1aXb8OebqHwB0IOhnfdRB/nDLvfzVXS+
WBaTFNhBjNBQ0bx7FfG1Owom9HkQpeqAtf+Nrx2Rzi9bLe8iuhlWillgjYoGqeKv9Q8w1yxUi0i+
QEXJ45hNM9LtqQi+EzI9kTC/qMmXjuag6Ug46kGU/HutWhcm4VNdVa54pK5TUqpJLHflOba6ScKH
vDbWFcQJki+OpcPT21iPWO4Z1c+ITBKwW8OC5NsAIlOD7q4c8lvc4tWic5DEVRXgHrzKjz6Z2qxT
e2OMlxlZ21OIHYHsbVUH05+Rxh0aQCfmeO5kijZNh0szJrmbmIsNCXTAv5L2ciDbO87yO2S7Byeu
HhAmEetACrgk8vuq7r4yU0bkQE547UiridxwvFHEtJIkXjrkzQsHaGfUEufiY020yB1vIxgn0miT
A6+vLZLJ6waL+EhWeSVUUJ/tiGW+SwCV+vo+JjODAl/amCJiSk7jbNNJ47rQ6U685aGb16Lsrsc2
q+9SEtPTOTrdrAisCOV7OTNIMQHxV8rDMUhKYyECVDoGCewtskkiyLq9Tja76XAUr0hrH5XvDdnt
ARnuI2wlplzo2SdboKlh7pPC2ElJftcssCSOodyZcyi8kImHl3R/1c6B8eMcHS8P4yZuxjXzg2VJ
tnzXcM+CgLh58Uf0fPKWQ98OrRIufcgD65aot2HfFhFzD72U221hs9K0FsA4BfBjjL5crpEKRDot
bLLDWuc57SsBW8hQW89M5CFbDHBXoDKqBdPBVIcdAnzELXXnmHVVxYBHe8nDumKqTJwrjtYQrTbo
OkYYnpiaF0Qv0E+S6hXIBJsCyhN6zOQaKCPyKYOJ9FSOe8jcJylUbbdVS34HhLpCCh/SQX/M7UG4
/dDflB2eRSLoI0+vjO/AGl/VcfiBRHZckMH7NTB1HgVNO9JVhnXQqPs6lyKQBK221I3+clCJF9ac
ZKOH9SORxO1Kg726NHz7kcgEJka6CZ7BEt8bWxWLPIWSO2Yt0NaoAXwbO8ExDaRT8Jj2Xh4Eu3yI
v+tD4xkZzwuoJKxvezPP13FRXvVaHC7DZLgrdYYbZhGs05CpC0F/6MXMe7/MUtiO/sJmngLv8wrv
swuIoDmI5hFdbkP4jVRgerSmyONXDXMyvUdQrAQwNCWHJkRBUQ/9gvAgIHchAMixCLYJGY+TmZ8m
cn2HvHw1Hb12UxTv8qoak/rlvwLvDz4AZdc/7yuH54Szwt/YAPzMz/pOVb/wfLJkkgeOQ34u1f/c
VbQv1HsUagScyphb+K+/dhWysVSZBZ//lN9qv5+STPuLieidfAaAdBoYzX+1q2hnR1x2lbm2ZOdi
9CvLRLqddQZwqiiaXOXGRdKnwV4Kssq/GYYkp0GoRsla6PDIRosQHkYuHgkn6VavcVLP2qNN4mP+
zkYVx5mQ8b3EqS2vhm6M0aIZGOKBo9oGGikBfW6RoKOTnNg4WvNiNqQyI90AewkQcGeyfxgxo89+
hETv+/oE4yMM9jnpwzEpxNJbHPEcTNySUKz2RBWnc2hxM8cXC2CkKXnGEw5goQbX1Rx0LM+Rx42K
XTknBbmdlJPTOD8A05Nrbl8gR9piqLyBbb6WSFGW5jjl3C/2FfnK9Ry0jNoSAlvg2iQwZ6pxF0T2
sKCvj/wn0UoU4cEjiuytZpfLWPYfYSg/o4ZQ4GhWtKVbwp6h1SMg1K15Derdui6BXJENXc3Iq6RW
YaKkpwpuKOir4FiRJ12TK92S3dTOsy2nLdypEGwMfrnL5jDqrGg3BunUMkdsqg4QKbC0lgngUask
ylqzxt1EtrVdh1fjHHYdtvG2C8CsIRmYqC4pr+do7HIOyY5Jy0aF/5gQtIHWHMmGVk+rYEwJQi3D
l2YO2x5LxfByZVyTc7ajf6StgXid8pI1Xcxh3VFdfy39UF9q9Ws3x3mbCcHeWHWwPxlA2SzlVZrD
v5m/XFRzHDjSL7JArerWnqPCJYbxZJNdpQSYOn3dY2Ji+22JFzeCHNHEHDk+5tPO/n/snddy3Mba
RV/lvABcjQxc/jOYPEMOSZGUdIMSJRI5x8bT/6ulY1vScSjf+8auMk0OA6b7C3uvTQa5i0JfydN8
MsmWDxbnGYD/j7NY7ho8vlh4Pkw1zOeWZHMyelnlThmZQV16U7hyn3XEoLeWCkQnGX1WEekoDXED
1dE2JT1dxi3eAfLUXXLVJUVcBRhYJVUlTvcy4oY848HAnVQo2koP+SIPJsVg4ecHdi8VmCW0EyAt
I7QhthieC/a+4DQIUGrjZ2/AJK4y9RtfAMOskpBgRlAjW1+DfLwKM+R/tCfxXo7iduHNcCe91N1l
mkfMEEaFFS3Q0TRTcw0beGU26t5Oau02jdDrurOoNiZP26q1G6QmmS6Bx5jJfMDcb6/QqyVHz5uX
nTva0wZGc492Boy9GMctArrPnohuYW/jTTb0izkAt3N9/w5+UhR0eXrTODXCZ/0ZK4t8aHUt+1Dq
8AaNhggiE9+UHrb1xut5IFvHzMDhspyxSEbjtjGxYxAhDvOS58ZA+OuWxMzqE6ojmPFkwLLBcTV5
yQyA5T5YggHDGuo+/PpG0r20g7bTiTFgj9seSmcwlVb4qFGEH/Uo91A0AlWDVtx+NFwYEoRITJsh
Gp2VpRqwMnZBWcOM3KJiIgWhXxBP6Mb7tChC0HD8v1M7ebtyQXWaZchvqoKkp05LxW6E+oSkU/19
QwfxkBWeGj/e5dN0k/COWk/kT6d+exdP/NRCY8wUVSddIpMoWE5WPojbdGkRevtsf2OlsPQG/kLM
w8FPb0nfkNuiZNVmJ4gTFdeeLICTFw3RinJ9l9jZBzG2u0HrHpZsHEkxbeGZEFxb6tmlG9poKyFd
rqGH78K63jtD9xaZYRzYXB5BreW8YcEJGOhwi3dFl+ZnPx6vJb9RFNPkaBUVYqyIcDxsOM+01NvJ
qk9D6L3OlQFPsCqOqNsxcOjzzgVl/2+F8K1CYBHxVxVC173+AVFN57N+rRGwbfi+w6DH+NonKl/1
bzUC2e3qP3tswk3mOsxf/1sjwA+ipEAlaAsIQ/A1KB9+rRFoSoXr8BUpFJgU/TM2LU66nztPG74t
ogwqEktgLfmpRhgHf9aY7ky3kpmKu4nHkEYBYr3EAJXE0K/DU79kuBEk+sHsSR90xG9sO5L+UC9o
NubRWbJzB4dh2aSz0S8ESNZlRUtTmo79ecabi7W2bsNl00ctRxwutv2Mltp/80Wh9w+y6wDn4Juw
wiCUy+IHeV2pahf/HMlLjRMZC8r5bAKOuCBmRIEzRLO+KYyoXTagfSGlKV44XqpM3w0iIzawHSPL
fsx1LXa2hOEdEkPnwCnR4O9rbZT72ZRD+jaZ3ryNUhxpmyhKcfITTir2FPPRUQu9/CUBshb44Ee1
lazluNHy1sFnnHA/x7R0otAAsWABfBmVYmxZCnPX03zHHM6RtbNl/OZMGsDM0nuj0rFWfYHSyq35
GOnQSOvHAWC1W02nOAJH76lDNUrog7EvE0/daoyaXDaTBm4LkmHwwOIi0QSjNVzRukzE3mst6pAQ
ErXuKavZUkXHutXyqyXzmC5f93deXb5mLnp1MzcR38SjteuqPtmIjnDULIKvaNlDfs0E0JvGR9FX
I5ctmmbaeFpFBeeZrzH87D2zNB6LMTdBm1nk/VSRuxKO9lJDVt07Sz6suV29Xdy2b+6ErqY2KJFc
yLhdMLXEAOa94e6qquiOvi3SwNDiFJoneRNR5VTHDNldMqQEKJCyjgdvkne+H9q7ya8KRHlkhJJJ
RMZCa3mraaB7LZeWb9Mz3+dlZnDspSCNW0ugliL2AvwruYP1yCQDbAf4Vae5g7ODWTma+js3oSJZ
pN7AiJIwcDDBgfMV/rzpRpw+nTXXm1l3B7wxZAmGc5nt9RzGOelixf7fY/PrsWn85cDuUv1RTJf6
nN8OTfcXzzRc5J6GRRmmZuC/Hpqcpw6GYAHwn0Pw63n2a2OF0ZizjMbqdxPyr4emchobtocwmrOU
T3P+ybiOFu7nQxOoggUKDYyb41Lr/TQ67xbqu8EesKyY5XLGSCpYFVZe3FiBNuORXFZLiKRwpZH/
lhM3E7rVRYqiGzYD7MdV3Nsiv3hDIgrykiJeI0ISKTULeTZ8In8T9Sokw1wmOwca3Kcwbgkd0upg
EREYsVXman596KwWvI8/2s58N6QuBKJYq6KtawPeGebyGbIk/gzCZfrSJRiiG8kjGsW4At6M2yLS
um04YIUrjUtbOvmGQTcHsLgvJR2drmOCqcL6hJ3gVDbhWZ/mJzQgSoxdhau6JnyiPuRFFJJdxNma
OGlC2AFW33x2p1XiUQ8TpETVOEOVdP0rySQD4bEmOOGOCQx15IqOFaVw4R3bUn4xFDA8Gcb3/Wyb
aMFzmAvCDsD1XDuAvdvJGQk/HfyBIJmmX5vuMgdZz/ZL0EpspHJie8LYCLxqQTroDerP8Ytmzacc
OPJ6UBnRRah/mWfIUiwntilJrUiS8zXUg3PqAahUXc9gS5INm+mMkn4gX3Y0wHyZD5rFYMUd2HZm
4boAU7kKcUMfrBit5mxVN6lR3XNmrkO3PuGQWsdgaJBEsy10Mc4O+YslCWFqkQT3pliNecayAl4k
sISjFRZ430jzJV+G+ruf01WbV9nWky4JFSYsLw2cFXm16Zn2EL9W9DyUGJCzyk92pOwmTIsiBqyw
oi0faW/TH8dhZNYn2ucIm+JqQXwipf7QR/MGqzI5UjNph2V6H5XjObGJsMEnwrRpSTahLXOGY1q4
b7MwXovZv8J4dzdeY75Wud7t9Zrlil1WN7YOQiKG1FSa2aOLZatIG9wqza0W1/Xa9TmUrdxPYU2l
2zQvnkgAYp5IFyDMD6JGL0+EyW6c8oc5sw9l1BC5HcaUw15sryVqEx50I0YUiq3T9Bcu5Wl6Ll3D
DFKjf57D6Um3undWh/CcImBXxv5t2tmQqAi5tfuXmZgVoObTBM8vA8eR6UHlka9i9sMDIUjZqkp1
8lJldIg6KwKNyljNga7mRR9xZifrOWHM4aeJMk5Z+toSw+OYMKfUMysJKic+kg99FK7/qVw8hHRR
g7qw0h9QTG6T1npHcgsuv+o6CVjdc2I+WK7wAg8Q4opIMUK0rEvi1tqaqMztnOTPTBLKHe34pyJa
5j2NO+kakPVQmfrrUsvKwCzyCgV3+SEtSdWSHbPvfF68ky+AvoJD2kViaZWlf1tMRLKERm5tgP0Q
b0W2Sd7JW123XluIQquqbW5q132saF2PbWECYtTnVwKW71OsXisHlAsadYaq3SLfphHyxziSMRxG
hrWmjvVodYjnyl2sIGE+PDhhxqMjTJf2VKt4ABK5bmRlwwOP91k0f3Lint0zw9LN7PiXwW4uuma9
Zv1sBhUsbco6pDd2724XTby1k3WCVb2XS/WhdCNjg/yAgBqU3PWsnwSgyS3g8TEwBufemg3rEFFR
oRLmKNGN9KJnxREf+0726cn1jbu0hduSp4e4bx7CuHnD8NoF5dSeZRXeKt9Z7cUMsiQeSRFHzsnn
XORsJHGAMmfjVsO0S7Pquax6uXYn8nAIc1rZIR3bFJGUmIzTk98RyzxUFGVjWfPFk4wExt7k7TgD
MRiEKlEq5FJGsc0koYLT69RKXCU20YEl+WYxOWezCjzTST7LJyLQCKB5+to8mqSjUbe/xhFxaTJz
yZ4jQU101WefRLWFZLVR52GoyVqrVejaROBhYKsgNl1FsjWFex0JeqKFJHUmmjT6zfHG1rJ7ftRg
GuLbhWZ9C0bTW0cq9G3J3bPL5R7E5AxDlUjWNI/zwVJZcXX4Pnb9ZdeSIlfACcMXyMhcVxFzENMe
8VAsa6wY2ES+cSv+rZK+NZdoev6iuay6//xfGb3mr90fTKH51O+KJQSrkFfoJf+XveJTDLFdhF8L
Hvb3DtO0fgEdi0+Mc4D5sBo1/9ZhGl8ziWk+bbIsoa/8o2KJ8fh3kk41y/YEg2jOAN5zBCKqj38n
s0o9l6FM6ac3Q7FZbBdb0c5qnr/7xVy/aRb+Uw7FtcKVDXPW8H6UKn17FahUmGfZ4TIq+kkt1YQM
r+3FTm/6Kk1yTntRxitiO7x1aBrZJjW7FlyGoZ/dyCvXQx2n63wJTyND2ntRx3d5Qha8HSfnSQgm
zLpmr3VvAG6pJ4ioI6Q8RnEYRvILRn9fD/pZLNNdJ41Ls1SnuTVviVM+ijSDsziywKO48LeuuvBC
KopVYvhf9Bmsp5NxYKV9NvNuHN7Y1rVcUw6S4RYUtM/EUFJeEaIuiUV1jpO2IPOdZjfotQ67s4/Z
YR4WeuusL2FtGdZTiCFz5+a2+dEoSGXVgLvtEpHFWO5YnlLTySbDx6NDSvSID8WnTwrgAXNz7zJ/
w+coO8lAiCBDDNleHK96sza9p8VoHBi5Rr5rNbI1dno1QZVc1zqjiYbyqehluBIzcTReY2gXvn4d
qFspU6jNSit3HjOpwBmY3EJpIfXS9ZK9mVvZcQCC4l15vc78aMvI7U6GrMaKYYN5X7mtPV9jHVR6
E0mfA9lxj+BYow+Q0azn0Y2JrM4laKe+HKyDB/qmxRVtT8veY25BLMzU+Y9VRcKEQ2DzRhuI5zTq
Oca2yyXSRFg6RsMesdwN7qbnd36m6Oo+dawjZknsk5w9Y+U3yUGDi7pB04kaBYP//TIyGRQy3/iV
7t8DhtGx+pMt6kkfmFBdAOzJrGCs0KU1ybNX2OOZP90YOE2ybEjaMFhXMP2c8zk5OgsWZ5fB6g6L
k74ufbJzOjyqeE+bbueY436ySiiws9HdYYjU6cOLS1LmF1IGkZ63yZ1V2QcvHijWnXzPOyYLIlNc
O396wF49Pkbj7L0BJGaDkgXONDtvVTKwu+yCLGz0d0IbtlxfeParbONrXEwec82Z+S4+yS9d17+i
9n6VqXxC9BK05nj0YVVwgLDUXHbWLC7SGynK+j2Z5ecF3m7Uji+U3Sw6tG0+6XTpmHAH+RleOt39
51AMejA5ucmsI+KbsMcPtpO85ItjbZwu647MuKOVNi1nozAOZmRcnHrghso+1Pz5SMtg8um5XIzO
NjK8/SCWD3PYbaIiNChyGyQBEfd/VwrikaC865KRqete+Rnv8ZBj70yWiI0G1ABrFMklthyi2ULj
rs/L7oJP7hQZMw+zKmuaGUV9yATBK+TJ500kMPIZGGVnolG92iQhqHrWlp5oJPdhMKK7sqnPkJvW
IwiRYhjvYp99ilFvDEQTzJTmlSGRIGAzw/XXVtU6asVNpmUfq0z/WFOuJF1GvgxgjUG/IzeIpB9o
yDibbStdN3kjT4vrMrFilAKm4HODIXPw7cBvacPimaX1Mh29apE4ZsvySMrul0ISuKLFJH/IiLrN
ns1s1/j1Dheudr9IrfkbgSYOqP893wG/fGWdI7Dh3z+e77HUi046OZFtTWZsxtyXG5foqaAg//bc
F+YUuCORo1VcMFtaXvW66e6aJhPvvMXLV9U83w+qtZnDIPPdZzH3uyZ23sosjQLK/3YTpcTusoPa
VgvPdB4mRFva3RpGBmm3DXwt1+v35AK+kJU8rJO0ezLgFG4gvpprXYBfzsv11Ky7+aDXSEp63H16
2u4Ma7zmRrXrCveLzIsHwN/HgczMpcuPzQBwv67OgDf8XT9JYuBksjdmepNuTNZOSJ5cbKW7iHsp
6ER3b8lBX9excxQxVRIwbQEEXAcG3M6PQCqsle+wJDOkcWslS7luHAcyYZJdxnq5ibv0kE32zoZQ
HCR5cwjLDHewp7J/PNAaID3sqD7nEfGkbmncJvl0yodiz70GC7ym8qpkt63S9jZL83vwrrTc5ZgH
DoqItVkzEmvba2J2I+JZ1qot4ViWtAADzsknnwziZFQ9PQ+ox5owyxoVz7rTa5zMlo5mRwaFSd/t
W/uJc8jsqi+V755FwxgB5suXEOfyqjaaFeuKeZXlhX7QanWW9efEdd4bIt8KgfiDAMkPsjD0NYqW
DMpadGsuth4Q2aHSt1NvT8Lr8FSRwnVCZ9decuZ9h78uEn6WWFGIOMCaPdcg2w35908lQkqABtVp
QVIqGBEzPbZYl//6FZQe+ndBJV/SxAHGtp0+T0k49Z+mQqYDAtPzo+gmR16iObfJkOyT+r6dyIZq
c2wNhBelm79+Tcb0f/Oq6uf+rsAa6qyvLVPTLgxCHqABqRS28oFb8T0zcGZNiCbXvWcDpDEP40Aq
/DiTjZGXtHDCSKp12S7vK809J70l1rDWt7k/6S9ebLlBIdJHxyumACPgyc2tD/R781HPTWfgaSqr
zbC45carNZBLNSRot5TyMMyu+VKVab9l1W9ukiT5nPOsYuFx4oATWAY9sXNrFg8PkFMW1qHZI/s9
41BExAnI/gursz2X0ruubbdON3Urw073JuFIrOOpUPIJ6Y1cBrFuiOsN2slm0JzM90Zc0oAl47ox
I2dFeOSJhx5oyGSsGFsdWkvbszx/Ny9gyUV2tPuKbk+leSShCQGuT0ilHexDtqQn9udBKUN0TbnA
LxpmnLLieRQwf5K0gKc078oWnkC48AQLwAYRLAc2EFVaeGSIpV7Q5uGlVq2V7e71iomQF80PsYM7
e661d0NPWLxpYg5f3H6HzAmk6VB9cqLm0orirqkJokHXter042gTtDna5t5lBRvUuv5Yyng/h+Q8
j+1wA/fGIoKamJjWevUawXRMEWJsaxfV1tmd/k59/jVQ4q+ecVWIf/e00WW6o0GwzCU9l9foRts2
p+Zp2gH82Dtnj6tn/RlJFavcS/lx+hvLxldawf++uFJqOiBAdV+9Ab97cb2OvTIjaOVSB/aqPBvr
ektSlH7Snt2t2IjHW219fh43KWKTT/wjv5FnsTom2/DGrP/WQPLjxfft3W4i1rQB8tJG2T9JNqWY
UALoaXwTiyvhQQS6P7fjtwXBn4r9fzyz/vc1WAN+/wMvbTFocUwAXdW8Ru3el3d/fXr84c/gMmd1
1baR4fmPX7+YHeYuScPlrV0bn/eDTc357YT6V5Wssyr98/b98unL6x+pktVn/da5K6SfgeZXN0D0
odX6fc2BYNnGM2/hGjPhUzp86Nc1h4sq2UXIbHHVIOD/fjfs/OIq3ZjHJ4DJQ7H8T9Yc1lcP9u/v
N/RjHjRXMDJQ9wAOeuqb+P7xA/siO6PXo9vQL2hnGXv3HWjgnBRvs8+f60xjkI9uciHn21WB32WB
dLIaQLTor5aKBJ98m5NxgvDs5qcZzPNq8VOiTUZ2yCSKq/N61auQca/In4SKHQ8T39+gpfysDzXx
Vh7uoyECCjJ+cMgs1xlp2WhZV0kUf3T8PNBoHp64ysW+pHqLiilcu6HNjLDXq+1ALnqVsC+JdOMD
EXdl0Kjw9M4kRn0CjrOd+/BtnLpXM7eJLUb1tfEqEj7psh6qLCYrtcTOPz1pKivMV5HtlU1Hl5Hi
bqs490HpNGs/ZlzqVi8eme/gxm4Km8lrO/EjDioYvqv1q0ZSfJpHl4rk+FRFyKetTeBWYlztNL2K
0pxXSZIr8hbR8znVxc6x6nE1dtNnMtCRgOpDAtPJY1EZ2zgdRPpuHOUVlwM0DAHtujMZ3xHM8tAV
4EAK/Y7pd8vk3SKc1V9Oce4f435mmRMLZpkxGT79eIh0gDtRhZIF+TjT28Fm44AENvBjsTx2WUVi
ICCyzQDhD/FYbx7BXqdbP5u/sESHLjbGhIiWAkVRkXo7c/K0TR2ZZ6fRD43l1QhawvBOaiUZKES2
bGXEbernBbELGtHr5VDGd5VDXqmK9EhcitjmoxQ14eORqTQDMc1p5BJyXVtbUrCaA7plCeYFlXTU
kGPiliSLRsXn3o+x6Ln0bRBmi01ecjnORfiRMfXBidr6kkBFCviikkjzBH5eOQdiGTdJqBOTWzrd
0TCaexq/OHARIAbpbPNADjhjRMf2rIXUt46G5TNYPRJZu4HyHDnxKiV4myFp5e6T1GBjIb0LEjU/
8Gbnta1H8j98/aacCNo0ex5lero5iMYk39YRcyldcx7K2Pw4uhlkF3qoVee5+b7vZtJSoulBk2F3
COn6CI0tV1OByQaVJcqzYeQx9t1rKJD8NVZu7YlS++Cnxgvdzs7V0PYbc3fRWBfye2YHZU1lsMTN
i/QtNciGFheUne/csU7qraO+MFOjQFcj6VkNp83plbDd5zniPW9kHlgzNciWTLSlGm27U/FhUsPu
0CN4NVQD8MaWT7MaiTtqOA6qDYYw43LwMZLo84rcMkbpEzN1RkQo6tSYXVcDdwb6zapRQ3hixd8t
TOVbhzxcNaYfqvItYW5vmPGhNLzT6MGmYq6/MN83aJxjDYidGvxXktW/lTMOKlrrXlTOGOhqUdCw
MfDU6oBm8EB2D8uEjG/cj/YdWwZkFG8OW4dOrR8q19pUYSGPlSY/GarIw/pgr5q5Z48pR+cIjJLF
QzSHw5oM0f6ZfdVYbee4ttj0aW31YE5D90QrOzGZMOApOqIb272ZePbHKKvsY9/VeXTNozzyDn2j
WR/DyDHCS2ojwi38rA8GP3zWmUxs7BldPFD0nF2cle6tCnjJlCIxm3juNnZN06/gjoM1gMdEKsKY
cB/jIIDzg/RrSqJy5Vfhnbcst3M59Hiol2WN8PeaA/N4HIgY2BR1wvGU5QaquvQtat271kFiq032
ViZdvSdNK1+7yjbi98wTxqfGJheed/HOC9unxQe51Yjl6lvJachAndS1+KQrPmpVTqCxi3t90vN1
34edCpJNeNbCW5kJYy17UsM0cibArU16digrGsXOLD+51RhvTGNo1yAOzkmWvhjexGkws8gztmUj
a+wTEBcti/dhjgwGFss7MZ9L5oZFtveQbZYLybvJThu920i3k+0o0zfHjMnJ6GmoTVbjebLRKdjI
pALQhO0BhWUxPRSLOcMm5fRriyJimwm2UuIDWaVGsumrGTubVezMUejrYkIdYjjNfZLaaJRa9xzW
zbXqRLJuJhxuPnrVJjZuLOCOgR1pWyhDJF255VPmVNeqaG40JyzXlXCeU2/8nE5OvJvm/DTVM3DL
uT+FJG7ZDRCZOrmVNoYTo3eOdRiyNU3rbQKrre68j0zz2fsKmPeOVgGfRIddgpJeQ45alRKGDaMp
9q+s0A3r1Rn9djstHLYmecBpgYQKwTG7ZjlvAfIfrd5jN56Qr5207oEAOM5nlM7ZCEFQSx4Iv/zU
DCAb0c5kRCuOlfaUmfypBZmR7VD1HDfjttCj19T39/ZUgSfko2HtvfVj+qXu9FNhxLuvZdS/9aTq
tf6qniTd7Q8WQXzSr+XkVzuCcpHRjbjIevnQr6oZAzsCYGbDscmuUVbU38tJ7xc0M5gULJygak/z
ndQQFQ7BgihwMMApaqH+T8pJvAWUiz+Uk4pCDfSHtSXfBV/wx3KS9TGuIE0st6CSnxqTeidnVKEI
cMwPlmLrNc5O5yGyJdKI2X9C+4GeeSAPrPCdd6lnXcyqPxRpuiF2KuwC1y0QYSdMVx/zygfVb4i7
SCvbQ89BiJsH2umLgfIV5Z9ujvEJclcxI18QIQkfQIvB5yabYkiHO4GqOQAA+TBlqlcf5a1vw/EH
NxXUMXqBZq7eSak9kTP1aFISrYTBmSxa6gtN3saJd9TJ6ZNx97lFxGFn5bSKUnFfp8aVY+HJGLsy
iHveWWGvpn4tQYNh+SZbWPYxFLTQQpVtsI6ntp1vYVl/anKKBRvSVUCKxxeoq0vQC0bY/uxtItGz
Ea9iVCEohwDLa5Y8TDOJ7ei/T/rg3poZ72odi9DgroUeu+jXY7UjH0/tWD/Hwv+gWRB1vdy8y6pu
A7XqKUsQLbXp8ti3wF0Hvb7Rw4m7onozhM6oIbn3B1WRmsW5joqDXsinrBtOWjW+iZaSVGgSOJ1p
DkjYETdrWtavTALYm04j6C521prEJxYaTChs2vhbA0Ul+ruGcVQPOzKupnWv8myrlKVLgRZqA55v
WZdgttaOcD8DLD6WJpaFPgTh1c1sTjyDE8vcD0N7G+bEk5jMlghKaJsapaczFLveBju5svPiYPbt
uuvsSz+jGDErw1jH5bi1RPiSgdPO8lnDfEjhV86fIgfiNF9zXeWYDisVRBgjPo9N7ZNoidgEBMfZ
mjFcxnRCVI13Ye0KIll0w9YYYuecTyZZemX7ABncujH6AhG5EbFdcv00WNphHyOJIhAPjUY+uoFH
tb5jVtsDLG2cm4FFpKtZBwCNTyxo92IwnqaRpHB4niLoO0NnlmGkZyS2lHckGGxiG4ddOKbaCp+a
hd5LC3dS18VNPZvGHdGP1KfZuPMtUHpTdCwyVAxzY3xirGFjV5DJLQ7XCSuitZVesR36bmKJkuRr
eypfZAf2b0zeVxGpxT5hd1HM3zPNZX5r4cFL5uLb6f6nE4+fJhK2QIVs2jazCHzu5Jr+1HLW5kxI
sebrt3nxmFlfbBuB2OG7c/MPtsV/8BJgMXHeC85IwfLix2NI1tHcpQnw4Kx7GbKrrN+V/jdiyr93
lMnF8ed3FGkG/7l86l//ICxGfeJ39xRpVUAHHJdLx1KO69/uKeMX29AZh7i+yUUmuEK+G3sIbNow
ERwEBT8IFlyysQCYCqbv/1zd+ePMTZnmkIkyQoGei7KT0+3HxwMEKBZmR063orq2kYXu/e+gTfx8
392DTAoFD7fDK/ETEmVgMRH6fqyCIj4zBxdue2elx8R90gTXzV1n7fXwOo03nf5tAven76mvetm/
fEX1HX03ODVm1klEEQy3aQ2+0JNRj8YA4XOxqqKqu5vayjuOvV3fOJkdsgjeOqlssDdB+N30RU/a
d1Q6H2fDNw5U1WpVXUP87CqsQF58tqv8idOYaPVWfBm17A1LwfsSfFNFDYozjsRNErgkaIncXplG
7G1aghAQkifR3sqcXSeJy4J4YW6jOql2oZyhxc4kqLst7qByEe0KEuuDNiE/G5J7bxxPJDUTaZuw
Z29C/kqo6YvQQzYwEfgo2YBAnw6hO5C1ae6RP1zHGG0l0NgSSSyOrehEvbAaTO2x1RDTj+XHcVGq
rXg/uku30VFRsQ7ZWbV3JLtzXsVONWE4arsdHfkFzOjy4Pbi68BUduVDxcpy7zQcjDreyoapUH+3
1Bb/YSjaubrNI+vcC929wQxt74mcXYJiMJsX8tPOjgPD1OJWdZPDnE2X1g/hLWc3cnGe9dwn8EdD
EILJc9sayWfLFl9yhPmbybYuc20RJGwGY1afe27rYZAHBKFXgVSjDJsgmUmFkPOZZWIV9Asyhcie
Tt0ontlwbki9J8KgXB7RGBPQU8jsJhnKa5n1u8GbbrIlO4qKjenMjoHqHyddM3vIKsdMEEyQb7rU
fWx6iStZE9HWKOrhMAxTv8tDlAsqJ+mcowTcYrE+5cUXX5turdi774aWHizO+1UcQyOsi2OYJ9eh
1B6msdzGnPzshPONl+AhK/ovRKZhLXPSOyOaNv5QDOy9if4xnIA0tDvSGIEo4qN3Jms3teNW4CHp
HQ8Is2D8UD0spXUtQhzs09wxaMyz8X6W8b0T6od2GgKv9t5bWbmekUy/gw5rrjGzvpXmyNPkM88C
Wr+EkK+FRa7b+Coor8rBCRpLT9ecYAeWlnRWJFmjs6QVj65xMl4stlWNXexmYW8YOaLEDk8kbO5b
pizd0uPn0m583w+MSTtwUOAJjHqmnqJbmfj/G998sugbDd4h60YVkqWd43RECX5o83JbJzDYTKkd
s255R4BdvJJ5f5MwhEgZOKbpyGMd4qYcPOOTP6SfUte7VFSTK0L4svXU4aAPu6lY2+HofVtW/Hvp
KRrHn196V7btn/5Aoqc+67cbD/wIAWTAfnQHs9dPJjB20VjABLo142v79d8bj6R4FfWDEQyjOHs1
tbH+1c/g/8LCgKUBlyWpjuyd/0lnRljkDzeSuolctWTgu2BH7lEZ/Xg/sI8vS5O8vlsbEWq2p4JH
W+M12SUFV2AtvJ/j5TmkcDSaPt9Nkf+MJqVbFYANgMHvSJAgQQ0IQtvXTHKq9s4ZKypOgQGROQXY
BBN8wjLgTdQ+VBAVwmgbe9GtnoJaqBR0AVa3H7j6goagc9DJEYuSWz6DwQE+uQW3AXcYp4KpsVWe
+g9LVeynr5AHe7wmE9iHhhKaj4vTopAQNCIXeMHOaoAWUWqDXBWteE3gSEyL8cVTYIlKISZaY34o
FHQim60Pk9Se24WqFqlbAGHcW4+Lf1M6Up40wisdBbGYFc5ihmuB5p3/MezebIW8GGFftKMOZoMm
h9ERCBcFyCgUKgP/wGeRvbflNe4QS5DuRhp0u3dSPw5Ct29hGSnkhv0Vv8FE2OyD2iRmpv0K6NC/
wjqSuS32tCxAMZQfiUan2dDdDqteuZVEyOGM/x8Hk8GKQChXk2mMLZ2T8jpJ5XqKv/qflry9G5Un
il6uWdXKJ2V0IdIv5Z2KlYuqUH6qonHeV8phhQqLdHTluqoqVhm9cmIRG1RsQuXOgqAh73g2rVWq
vFspJq5YubngH2GQQCt/CZXXa/KH7hiTvreblROsZFrbBY3yh2mxGe70bHgzlHesiZuBIw8/Gcz1
lxGVAFe2j5RHuc50UstWiXKiAQx59ZU3bWDsBpOfR7XFuJYrBxvZmfnVM6NsgyCMgbkmk42vQ4ix
lPstGzt7h0nntVDOOLwOTDKVW85Vvjl+c8DllJfOU4xxQ/nrQmHxu2FYvCqV+878asRj0ZDxOOHO
q2WJ2YwtzqpTBkBCqdvTpPx80YSzz4/jhHwOTNI1NpXN/7N3Js2RG2kS/UWQYQ0AZmNzSOSeJJP7
doGRLBL7Fgisv34eqJa6JI3arO86dauqyGKRQCz+uT/nh2ez9DpfuP2pRyIciBPe2i2xH6KES3YQ
/He8ksz93vWCe2scFjG6P678qJAcA2q7J4K/hBEhlAvuqsRKeOeio0xNpN+Z5Pkm/g4zjkuukViQ
TL9yNBRY7YZ5UxmoLBh025MKOVGdrDoJpD7e5xyAGChxMishpmyrvHmcND8K9DmEKU8x1aaNEU36
9kWLmqe8WpoBPEq342IeaSKGeZPqJDzdKX00yuo6pSbmdfJnfHNxFF9MnUcko1a4IsAzlAraO16x
oCrd5uB34jPO+9dOD7dD5MXB6GtfQ6qWhEnyYtHzlNv58xIg3WGGp7ClkMsi4l/yraC4xf+qeE+1
judCFd49DsXrxoiPNQLoqpTVlavbH6bwn/pcI84ux2s1S+/gSbmv5vaunf0HTm3hRleErptObvp0
SvCCJNPOMuc0QAuwmUqWpyFqA+nFtxE6x8qN0Fs6yitOjj6/jSmpl6E090kVHzM3PHsWh7mRBrKJ
kDhvCpOOkodtxXW6XNmln7ynHmggkSkqs6w+wVPJCXckeHkUwsdyRc3BynboXmqx7hR6V26Ehcg8
aHeibZc8QpYcoxL25FgxqM+mweNL0pZWLCW29ciaFFZDdFMYvk2VT6vdfEc2Zz0M13L5S1XtxJuU
GetOxxRzmzMdW3smZyNWmG7XpgInpjP6u9o2ps2cxh6vNsMIPXSn3dhBgArbxFonzLk2/pwSMJHO
FxUN8zqz5wPBizP8qFNhpRdONxYbsEAmxyhSJpZeAya0l9pe19E5I4bG2tYrUBVidBYDyyqJIVSE
SWLuTGs5AKZ8tXHBW2sOw2LisyKqFOk7nGpWKb0JDVrc+Zc6sncWRSVCJDfETksJ5qYFqk1D7SSA
EDImLFP/cnr9c9RZ3GV/f9S5fJMJCa+3v8rQy8f9dtghoWkRwqQ+Cb+dLRat+ffrPdRDrma/ytMe
p5afbvdgCA3DxXJgmt+Zg9/POtzuPQvJmvORzTkFF8L//s8f7r7tn/7756iAtWQefroLc9bBVoNV
D9eFRTYCBeiPZ52UcjDTnc34XOggIC5jUzmvo6HH3sGRZRldV0zCjnPXiFcR22zUvlbCPRlGbXiR
s9s++rFd3fl+4sxBanVDtbVKVz21VkevFd0eLqmlFOpGoj2CoeLcHc02zVDcjs1RXHv0dNIede56
cR/l0xvQ+DczDm3ev1vRemysQt+ZeZEgkDKXNzKxGftw3WnyiHuMZuoWpkgk+zaI9Okta+jwagZ2
f8zILXax0sYT7AFoFt42L3uaSZbkp9PR0BFJCVE73NcF4ameFpREGOvMwv0a0szgSQpzenTnsrmr
LfM19lKL+CdaMFlDKl7Med5xJysCvPo4YG3nNhXuRe+1zybU6UyU+UUhq1MXkwdrQtNb261LD66M
4KUMNff2Obvtm/qhsef60pI9BTAlwzi5YGtkMdGlaC+kk5zwnbIw7I9llF+UHDRmt362BEGn1tCp
FNHl58wdBq7Iska03R409U73i73BFJVgW8qg0g9sW410PplbRlTQYLgD8UUZA0Enz9knJf/P7seO
4pLqsYyzH4zLbjxYZ16dfxhZfC8qxW6uUvsidMIDRJabpMYA0jvUIUFFoomPytVoIT1WOR2BQtzb
kqQcXr8foipPM1GGevK4NOsek8nSdVe4AVKklvFU0lyi9AEkTlXu8oTuGNPu5kBBoQPR8piKFucu
lLotE9UNvUV3pSOGQBvYdWLd29qN2191i1kDZLWnYN8cVCaKRyIHIwt8R+UcWrVjxVcl8DukA/Jc
6dQ9yCl9D/sBj14suxUMwq0rvSdhes8uB3STgQNJXmzAy5eh97dw9bZNOJ/zLGFmb2798JqHtbqy
++4i97PreRKvicAfUFJwuZVjgsmAMfZBh+6mBI+d4aQXlVkhbku+cM170ogm044xJIGRjmGgyWSb
DdmVUxdny5cn2xfXfYtXQS24oMi1Sb42rzYFebFjPhQqZ/Gv3GPdi/OUDGhCgtGDj628bxgOhe29
l7rvQhsvpeg+zbC4b5V7MFxxkfaZcdBjF6hn7nOwqPg5kOP/kRsDr9gMxMAbc/AqpTjzjxcrNcTP
jYRvZejF2QyNa6yU3Mmzd00LA6/ydTLWUFgKq7hGfPAYvTJWKlT5FAvUIGRxEwJ3mZ+0vKvpCiVa
GEIHC9yieIOKwAl6ym+MNnxGw5lQDrBwx1irfW++yEt12RkUB3bcRETxxrToCPkx8AaSjNxX8tA/
xLU6t7m+sy17b9U00kOTI1QpbA7VXrmdiIra5tIHbXDkcGLKNpV1SgxZ3rRjFrbHsTeW0ECJvmFS
u+n7DSmO1HvqijLHCFRQN9rgoN82uU5dSstXH5VVta5H27weJ/uIV9C4inmxAn7mzrl0uQw5veSH
o9zxaW7K6FYaRn5KbdK9im/BZsi1fG9AAyIxzogM2GQYEZYUKt4rjSMep0T+6qnWja2Whtnqe3f6
Z5t2EKX/fpu+Z1KcqOmvu/TyYb/t0gyLmdDojGEZg/xJkrB+EbgSre/e9X/v0UBp0K3xiho292cO
sCjn/9Yj+HVKsj3Dd8j7QZr70578n/Zo91tj/8OkGLqDTzLR9PmfxSD5xz1a49AsmqYtrkujtu3L
1uxAoE4LLwEBeRpMfzWOfe+tcrf+aHoahyt8QaNW3jH8whHnvk/9EG/qLtrLsNg2Nd5uLPD5urPd
K10BB9BSwn0VDzbnZZ8y02iKt2YtkBfr6Ip3nbFkH6sgDatziyVdExi2HX/4YddatYkJwXc+ey3G
xdNoL61umBo13CBSr5x1FVvEOlgH19y0clZq+UOrgFDJTr73zPloMJx2qEHv2mhs40EZsL6ivUs5
fTlnZPvoboQgM7xgp3vIWTCCNDPuLEc9R7Btd8yTPfhZljhHlL1vbIMmLUQSuaFc6Q2MJJEWhwGs
B8iKw/S5stm54tm8Q35uVnGX3Iwm/eG682krjC1yeGsx8tjklGhNhbKMWkvnKn/a3xe6fO6s5FCN
aJ5lFj1XrXj203drqNa6bX20vv8hzfYs5+TJqcaPzPaKtWnp85o5/7XGF4ufeNgXMYawVGmIqVoH
5CpL7rhDXHW1djVbTUj3OhfoyeSOj/mlOKT0iK0cgx140O1rzRnyU7NIFI7GHBvuzymNRbRD+xB0
j+XMezudg8D4wMnoiG+fwKGrsOtDQOBYcK6pGKQeFCagrEuTaPiw8/q0WsuEptt6yr1d5sZynepF
vxF9OG6c7ruMld91J3Mvo+Ex9NxtnnTXQu8YCZXsxprf7KSNbMxJdhVl2cF0IrB2ihgb9eugDHR5
KDSyidJkFsuLFgZD1Z+w2F7F/Cj4k/I91eSt6J3rIdIPUeqOgTDTnZ1WbHbsBwt5LpvFg+J+qRfR
Y1upTyolNRC7ZsV5jhW/h11Gnef8XKZNvY7M+hi69ZPWoa3k7fCg+aoO+NB8M+das7H67G7SKNSz
TMGx0qi+ihaBOanqS3vyz5mN00JNI02Z1YADrx82o8fgArNfxLsivTWuVTMIM38/qK5bZZYc31SI
q5FrZLi2ZKvRvJs+dbQh5smDpeiL9PyEkKUB2ptjQ+Apkg5lq+hTGGS9Hw0zDKxKP8HFuLRLjYFI
ysWSYMHNRJHrZiqbGTNmcZUsIBSAxiJILEsGnKYP4Vi9ZWMDLMjS72zrqE1fmQ51WIvkbeW2G2sa
UwjmYCvs6hGM1pdu6Clil/0lZ/3Fb/0LOOZX9TTdmTDWV+jx8UZMMTtj0dzGXfuWE1zB+UfAdD7a
nU/brkEwkGcvXXmtjRgwfZmtfI207jRU6oa6oEvsTuzGpVrP2Xhp+ZSYwDvBe1CSPkk7JiYdtDZC
HeqrXughOeS/NaCUN7JOryS7cTRUVBua1Qg9c/DEUXHXRlXSvCBP7WdWXRJWkyTXkIsPhWLMTIRu
QhbkU6vJcRe1XbeN5/6oQoCUpoxuRTy+pYkTgfPI7K1q2hxrLjaC1gb+WTDDiOmmVfF4pxxUN3Al
m3yMB1AZibkpS0fy0lW8Ep64zGWSbqoxvKpya6k/C8fA1aI7BM5zVft35Ff31oihVZQ+5sQpv4Ve
dxVFRrONlJc/y4EzfTgwqePOuHQf8mI76RPzebUS/ZBtWVbtIDLj97GsEGxtzHtDeWRBv53sqt83
ejESn+1u0L/AzGAI6B0IX7EO1aVvLWhRoroPvfIYh8IOsia/IE17kzh2uTJTZEiib4wgpbHhRsHH
9v2dI8ibzWX33lZcbXzQZCuzNONApI0WRLP2Bc+f/SKWyc7z8ahP1buweLebHP6FXXhawMAsWngt
5ZWOdLOSVfNseDDjlQc/pZhG4MQmogUkBcAjrNlOXerYjnU8Hqp67/zkqap5kIaQMxtQNEgKaJ1s
dzIYLFCPCkLm1uc+HIg+AURqDXs/sgv4jnbGS+PkfJf6h3jKbgb2xEClXsU3pk0BZwG/zLWJx80D
I9yl/JqXw46utXlAokkvJ7gkCySLu5A+DCstEw+OmnYLgMepnOs0qj9Hg0/HZPpZCJWsBqkt4b7y
AsNGc+U68yX7Pwg2t1xM/gcF2S2wJ7PbZDCynxk05Yd2bh4gz9IGWVpP2mSfVaJ+DE3ONSJ9YLPX
QeS0+FQ9/9Am0dlNmnt/zvaWBljCRcqhr7vqVpM97EMHl2bJ7bDqbXw4TNAAhLkfCV4nisCxQDYY
6rdT5d0aYdFsYHlyEp7HclPXVJf3eRcedDm9CTpE+Hn2JvlG734s0W+9UDsmUfQGaoNwGwrsmNa7
qqn4eLe+xnVroH3q0Qac6EedjrTCquTF1hFj00Zc6514rGwBpzEf93NkfaX64LLGGt3KNCmK9UZa
UoWbo8+TcF7p1cTjlxIINZKJKr3ZeBFtf+XbXK8YExcrCRNpHU9Aq1N3GjB2pm90H1xmVEcHKgnJ
Avdwhfqcb7WSZN9shAbLSQNgd/s0IjJAbxb73YK2bszFY0rccCN870ccccNsvEhue0jAVBn0/brS
p6DK5mVVFU9ETA2g4qETFI12H8vhQfpQUssEeuWQwxw3YMB1ngqitkI+tuM7JUAahbkCQIvgXuj+
g112XA8HP7BatVjGNFR8wftk9Wo7RoArzaw8aJyceCFTPRjM9h0LGZBu9nO+W2whDEwFfYxzk3wO
THO1WnwJXbvXLI9NoHD7IPOzL5ds4trMzY9+kiefnRxPuvPRMlZovE4C6jaOOH3LtT/3djCK7Ckq
Cph2ozQDr4OLS9Q9Ct91L7rgYIC0awOsMbr0WDsMSijTTq9IQx7CBvKO52UvkeaQGRvSewORYoVt
4tbFhbgyoSLb/vA0LoMpEc/1StVVuWkI/QaTA+uzyBr+OXZDgmCQGMsr++Q1FcLPBB7BhTfFe/cl
TCRznhl4nJm11fvuue4Xbq00gOaWVB5N1qUlErUpHUQfSp3vRMLPyIF/xvFyZJ2W5eVoyxIXLxZ+
T32Q1G0DI1FPzfgNtNUf5pyG5im/h9NfrIeWJdXV32lX4+EHzQiF2B3ImncXNfTFUh+9lT61iuWQ
Ujcl0k+fszHGt3gFqutzLuSR9DAah5wPplk+JynZHDd9qHtI+S2nPDdj6YN/1gWxj2BfUXu+bjp3
p4/yS8Qc6dxqfLEKznx9agRJnj53bnmgenUdZ+UbVP/3VHV4yppjkVD3G1HcGvYlO6XV7KfGvR1j
YzM60DPCprobWyActn/wHW3d6CnKvhVMiTGtJgsYO4NCxl4XGC8OXVIHuaP35rFNDdBEkWtmN3k5
i+epSgRteZrT8wsOsEAAGQKyRa39WqT5zx3URFj9+zvo5af8+Pzx1yvo8lG/X0GZiju4trhpEpcW
Lr/1u1Bs/GLa6MeUV3+PzBl9/9sHRrYNHxgWYtzE3y7n326hxN9wD2IdsywUI923/5tbKPPvvyrF
rjDBOTMWN9E0/6QUW5o5GKrJsrOhs+4efZXUDG/7wtaItGQua51Auwy6Jm1ujGW/hRFDZHNPK5Qe
prtyyT0t5z/lPcbTWK/qpL83LFue9DGv4udwiUIIBRF7AmoTFN85iYygECjSfW06JMZJU1TZdB41
sG34Ad5CPAEBKM5TTQKjFCPJZzIZXHx39RLS6LzxkbzaD0F6o7YqPoE11/todHD0ekxOW/9Gkfno
K2luirRA7jIIhNSM/B9CVmTmkZwJ9Qm+xWicPXIkQwHHTizRkmgJmYzS2/eiZkCcsTkL88VeAilD
NXVMzzBEVxUd2hje0n0NsmzjSw5MThWSOWni5y5r1Lp06mwXZSg986L5WIv6030LQcOiCWGZRR5q
vqUic1GNxkU/imOdWdeiKbWLugTRPrp1F8VJLNpTtahQNPU452RRpiIDjWpCrGoW1Spe9KtyUbJE
wwWEo2y7jb+Frn7RvEzEr3BRwcpFDwMXzrR80cjwCSOXpYtyFi4amldLe14V/tRGfA1lkxxtVxPG
wc9aLduaQwbd3s2Md6Ox7HWHxc5t0vQy7oGDhR4rJa7jGL72iprtre4UNzAe5RCMUwV4XmafRCaf
mja7qHSydIU77HKiMoHrOLjBtMsWVMsqLpK1U+esg+WxNuWLqWUX6QBypzGLeyuKh42KvQ8bDQKe
JD6zkfBPrNyMgOHEkR5OvQUz3YnT+RK4ZrnSGexn9WJfsvvwAJzs0BUh04qQhNaIMLwp5uhjHgec
DIzpCDmio1SLmuv4ZRxQE/Dh6Ew3kZIz7sGUZFvxuOmojHGL6SFaWI70LTlrnCRpME0ww7kvXCkx
FGsPpOCeSFJCiiQiLcafTBeV2PA37lTHQaYvEVPHp8ZstvvdhKdqrY86Z8+BqL0kmjfVUGN0XZ1E
MvYBLm+TFmZuoHphvorRIEM6VXdsrsnKnziWhGXrrhrmgj6BrBVjKApmXfezCKMfecWwhLeLMzRF
fqmWXndc2XgGzI2hY57v2olWcUOmq7Ia/K3Ho4+iFq1LXSrKDByFaK5F1UxQLHWr7MgFt7r/R8P8
pp/ZzAX/fv+465T6lH/dP5aP+n3/MH6xDbLTP0mVP+0fvs21mOINg1i7h/D52/7BdJIEDEYnQB0G
Aiir/m/7BwBZC01URxQwfgVy/xcqpukt+8MfVEyXFI4JBsleNrm/oM96bpWk/fzpTElHu6VSu9y0
ts6FILO8sKFUKB2JGfYOupsTljVFG90dCufO8TKsgnKm7CnWnYuxRBXoU3SQrrWPNn1u5Gasdmsa
yr/CmFrtR0ZrN6bNWwThWjsVU8RSmVbP/oxRUXP0j7JBYjDi+aZISDeEQ0Vwuu7RLSP3zLyQJo2q
R+Go3QxJaMBx6UXWqiNNyATdvMksLT/0BYbJAj+wLmNnr7ks/Ahb7QH7TukRji6dIKmzW3bTzyFr
7qrl1lkMci2hRB/SURuPkZ/nwaz8+sz96RU/2q3f8FlC8PfYxAdGF926HUEXhYN/qdt8aywzZ37a
3+jZ/Fh09QPVUSd8Z684NXdpXfDFzoNJECS9gHSC+DA4l3Pt/Zj9PGPRyZrAI/IyuYCX8AIj+nYE
+2KBN8YMP7IYYcDxqm1IAsbVmsvSrJ/TpOCkCgQzSOICzqMzvc+JeUVjFP/h1bdJHHGAT63Gu24t
jwop7CeMNmL+vpCpXtBgtPUMuZF1tTNJzOr+sDNZqDrD3xpy/pw9L9k4bk/7CfKgy/4IlneKV2XX
1kgLKdwPb6i57XMHG0z7qe6Y72jcCxtwZv1oOpCIPkNXbEyzVoEZRm8EqL46NwKomjnlWtlztTV0
BVw4N69DOYmVK9i967S+ieX85iGlrgzFDDnOKxFImxKKUlRQ0dRjmlY3nV4AWxKwahdw69xsCc9w
G7EYWhviZhyiJ1XWPn6b9hRJla97Dd3UEzyuXotxPMkiNoAJXqublwlA4RaNPKI8IWl8CkXSa/B3
TdC04hQOHgVTTTuuKa16I4kcBaqv3twRja8dSY22WjjvQ1XRdsVeiHZlY/Em5s/6O9fr0Y5s2mWi
Ozd0eaYqywQgVFyqsBoDEDeQ9MaZwEqDkQtPAQjg4YbKQaCiFl2YY+FtnFZcFMLcY9WE3hX5pGVb
hFON45UbMzGMsOOKmhu7MzBQSPPxXI3aQVZKUs6VfZAZe0oLCwfYcJ0uySEjKj6Zp1xJM+I6P3hX
DFv1TeqBhw1bOLucHK4h6/2AslrjWI6B4U3vQ+pfjWZ5B90tDQpnfskbhRKoOdGWOHZKTpxhrQrF
C3dvDNDc69I0+0znniuRGe7mbiBylWsCtaaFTxABLYgjCk9o8tlodfYE4ufJkNAJRE8FjZ6+MjaF
NKMq7FignVdJZV0yxHzEEnEyov7o+QUUldHBwYCajJcuQIgJeodpYuprL6qZdtSMXVSyyFeDi1oT
R+6zmk1FMt3y933t+uu2YBg/GDx4TevbZzOrPO5ozpxwV2A3+OdatVRE/4dtEXR68f/4b5aP+n1b
XFqp/jYG6nA58hjvkbv5gwHH+4WBjO35WJRtAljLJ/z3tqgTAVsIoxz8wAb/V7Wj7MJ/2BaX+Auu
ZrqxPMaEFjiuP2GysrLO60xP9TMbu4y3jjfLgHlW9yFT7hE2cEy9CLO9FkJOSA3/MVQUI4QybtZs
su+qyO9Ibvsrgl1rDhEAzurkvdP0Q9s3F5mWRoHE+cjL3wNIRILKLOOVwyAHd3NoT1QbHKjFCaw5
OVtKOxSxfwkFYGXIdoE5pE3Qgx9eua23L9G954F6Gxy5ahBVUGnzdQbUMkDcuDUt9cKEg607K2+m
TDMYJyJZxYkEUA58qEkS9CZxQunIk+mVOU+3Sp30tpXkF2WDWEOvYKE3+Sad4VlVlXmp1zZZ0tle
zpinmTROX3Ynrw1/1D5YNJM9cxLZjT3ihonK8HKw0dIjU3tBGN0QszDe5FQBAs68NR6Zx8TUf9Dv
gNxeW00g8vxhdLUfnUMXE9HG/ZJcnPIo3jCdZ/PKLpO5fuPQ0G77EF1yIAQfxGbj7Eo8MOEYw3T0
ioepDs9tN7wWgoFm5lKg5DU7ZYPZ84tiQZ4bW487EjWI58zk1L+wObvB0INp9nG3+Ntljx76eKcr
D0+Pl96UBemKvhyh7c2U4nn6BrPLcxI7VtCbDRxzP3ts2gnCdKaenXk4DYIhn2qLr8qTl4SQowso
7Fe4suJ1qcRmaLn5UOy9b0McGW0T3Zu5xJkSJ4HnKv84CGwJpoh/lJF7F4XTDovzSHsO7OilKIdM
0OdIcw7teoSg1BO/ti+Xah279zwSxtTtxKm6Lr8LeGjiERfVUsvju8Va8D6tcTRDEaG7h6rMfUqX
j+gbRNyl3oc/eGl0zaauWIX1pQKIhu07o5e71Mle7MnY+RECYu05J7I1fqDQDrEPFTfdUi3E/XBr
L2VDM/UXU4w5DH+bx0BQ0u25VBMtJUUmbUUmrUUZrpXcJzqTMQa2s+GYLgVHsaTEmsYjUjJ0ujhq
pXmJO310USWf4lKBfob54eG0Kd1bc3EuA8KUhXajUx56i8uTKkNsSVtl6Vskc2Y1ZvgF5PszdDiS
xsgNpd64R7ccH1sh31XWYTGvqhs38ndanN0YdX7wcCoFlvDxlLjY59we5KEu2e7UlQEfln9cvWlc
l2nimO4rNdrIeUj/fu7itutbSjiTYg2XYWuJ6Y176poT5KsXehvdnx74QQPKTLXDlGgXZRPv4kw7
YPICu0t+Ns3XPmR7hFKQpxi3R/Jikz0frVo9GY3EaTQRwkZ37BHFV1aSXjCZyAKVgYQd3d3gi1VR
F/xAHpVMd9PYIbfQVll0h0RjPp0BbZ2ArMaJ/0xEPeMAH1/0tW+skbX97VhgLsCjvfcbHXiS/wGG
hJdgCqbRXcQNf23V06XdpYdBLrAyE4s2zld+tg4htm7ftRL+TH+G1LpuU/ue8VfB9VZezITAsQyX
GxvUCldqLDzjctrM9DunCz8bHGVURBQH5Ude0Lr9nmLWMdAacmiYmEI4OKcYAiSzQm/lQc+L7e5y
cMsTolKJzkP8I/JecnLdSgBfxfQgJ33nu911Ivon3awPoT1uRa+7G/iTrH9jCRJJVLdWRxtBMsuz
rQPWjdI9Bv1FAbsKxXzfLFWpproJze4omx5xhnDUSOfQPJtbIeTG0owDkYN+TffDzCpsbX1HnfRy
3nolTan+pKES6e952JorZXavsFZgpJiOhesrujaWQ3kU3Rizd+F7Ux/Ms5ZsxTwcdeCvOPRRGeqI
Olst8SHOOjRLx+O1lWv0LEzXpu99YQHflgVQY6E2LZ12W6iUcEQ1dZ5Ufa1c72FcHASF4zA8LRx/
M6Zm/pyRoVlHdf+VEo2PR/0x70raVauL2Mdi3RGi72ZzbZIxw3Cy6ZaUPRjXbUPsPjPMxUuVPbIC
b9rSuZFaWFEhSlRfyKexGU/DkuFvu8KF6kl3KvF+k5h/PDrniFwa3Wws44AAwsZHszPCZrL3eMaz
R/zvQwZtq8RiNUMO8EAI5HqCaQHoc72QBUYQA/Y3a6CvmLXiBvThxxgSHgHHhQhzgbEdF1ZBaDVf
ruqzgCT4pUpclkuymuu4YqAJ6gDSwi1xumHVM0cbgSFQu7xWun9EyTu3YjzMCzVBuozJSkAKI0AF
2Cf3ecLcipHEus4hCnkkb/uFwmDPHvk9uAz5QmiQC6vBWagN9je/4RvlUBgL1uGn89T1r9fznw3C
f1V9aVbnsm4KB9sxCeAlPv5TVrZtiC5PvuWfjbti9Yx0et0EaH+B/3Z/215WR+41gdonF7QTreM9
JFgaC/eIfbt/Drjfus9y3vv7A+4lANmPv8o+ywf9dr79blTzeAsXSR6/Gb/1k+yzZKot1wRnCLcO
39i/ZB/Ma4T+OXg6S3R8Ccz9drzld/hBA8a1UE687wTef6H6LMWufxR97GVgIHwyNXyuX0n1Pz0+
TdUA1YnT+LrpUsfbN9+9ZY57Ngg8IdBE36Vm2a8NZ11N7xQYuKX6bAL4yUb4XYk2fNejDV67J2Zk
hW91VqSci4Yy1078o9vwaMQpM2XMClp0zSuXEBVq7JjZqdGZYzeuZofxX5C3fkjMCk4a08l+YqAf
oGazIrKIk2GGSps08Z54BPO5PHWWXRcE+76JJNUtZcGQXjRDLs+RvZR8djjv3E3EnJ9klSdAqKlO
+3TAQvzz6NO/i7HB5Kn7T49+ieT5+f/4NpeP++3pBwzJodZ36aLDH4l68YennyQp6U7ICv8qDfxN
9BS/4KSEqIG++fOzbzm/AAvyIYAuwQqHiqz/ZmJGLPXPDz90KE5vvE9kSBllcYn8ee0s6tzG6+CJ
q8Ka+22thzZ2A/fFReiv3O7JVOIhm2/Cqd+BlNqYjXfTqeghzGf0usVPj1lp3ZTTJcbtSPuwhuyh
0EJrbVjLiUuW70JRQQrF5FAX6V6PMOPRJbR1DEknbs8ww9SNV63s63dDlQng3nzYoLiEUBNT4GhS
7MNIHsuBYF5qxU+FU12Uk/8yawraoIf7JmnepjS78WPrTQrjeewnMxBqXOxdVTDFGV7oJj2Rs8eP
WFT906R7rwm8rlNJ9+7GGBzeijp9yLr8VZ/c+WAX0SEktLgV3ryfG/OVI+yVz4B/Eu6dL3fZrG8a
HxCxkw4PXZy8eIm2H/TqqZVadHTpR/fxCRVlf2WkENDz6WqckqslMdBMcmFlxj8qPOGRKgHpieHK
X8zxOPUOdrVNGzL2U0VBwt3CFXa3tcpeGpOLHF/irm3nZfzXr8nYtTjzKbjLUtN7CO1wVTlty5zP
L/FtIbSG2oUoqoHjOE6MMOk2Q5Xe1ghoYOPmrQ3tIOjzfN9U+Q+p4SFTZss4R+o7KeaY5GB3PXn+
ngu/WOnM9HdxaX2qJLGPecnfhybcOhG9x6581+cJ5U8XFzHGj6pNOeGH/kJivACOfs5r/6qAOyFS
Eqdw/y6GKIYB75LFxa+n7JHKCp1zZLnY7qMZKVAM+HjyzGZ1c9s2oCMXy6OLY2FKOFarAoqdct+Y
+R8AUqpt12Jx1Jk6muZ0M7iiDVyDsEtj0R2MMGA36W1pUJIW85PTauvBAQjXFLnc0NfpXTQcWXOv
usQu9Apn6jFu8bk0HjCdYQrXsxAQNsnJBpOED5el6tBPqlr39HN0CRvDzBR6UZ1vwta2gqwf95Rj
VltJw9yKvMWwyipCvQnBRNf74udxqur6bKOfZCSGHCPXg4ICLSjcmGlz6w5R4ZXykpMyhstqNmk8
VOURWuOFjoHFLLga5np98HrvPW2jgx9HO2Gjtguvvcewd4ff5SGpxEEvq2MHWroS4pDRKEy44bVs
8weRNXxT5+HCtoiSdtVl1wN8qrPxJi/63RgmF/ZiGp6Hfe1XB0PSNMR5tIniY2TrtHlO1qnOucu3
+rUe2/m2myUlU+p5wACGnDnTo6XO/8femSzHbbXZ9lVu1BwKHBy0g5pk3zCZZLLXBEFJFPq+x9Pf
daiSLemXXeEae2ZbppKZCRx8zd5rM/1G9DY7h9ozLlZUHpOoBxgyIQ5LabviHp6+Xp9YW5yxAX9u
IqYEbmDcNUXzRAbS0R/jUxeatLXTJddTDDnc9EmKNGuInoLE2VpBscvsyN3Dn6RRpy2InPYk8Wky
K5BsaYM9I7HbTOvx/OjVMuzqPbHRz/oIWNvVUzpKo7sMoXVFa0YSlcO8Ge7JMw/ZndMRzjS1K4NJ
NDSG/CRT++PsettBY1frkcsV9S85OKjG0r/ODVQH5NrrGW9IpLNSWjgzKviLgc5/mbpDamzcgo59
GiWCVzMjVsROj8wLrjDe7Me2o5kX3jEMw7PZp0c/mIZFXASnwQeIGnm5Ep5D565T2CLetiq865qI
Bcwl4yardLGOLPEYie5qFOaTTDTgX/EdMjN7hZfvU0kedNEEaIcH5sTa06j3ZynEtZ7ATrQdQKfT
8Gpo1OxRGZAKjh4ZMIizqIW1ybsgQqCVfSyx5E9e1i7aqN4lRbxlDjjQX4lHx9YPFf1RGKJ9wLKK
5lEsDfPeCTro8fOnOHXumFYEV7lVlYzm/UuZ5SdNtQE+4zNztj6K0t46hs9IBI9T3JIsMtSjscPV
z70cvCU4U6mClNzYma5wIRobIUpro0dy61QMd7goSvx5TOvtQN81WffcDNFdRbbj1AX3ft3skCgz
Mhjcx3yIML4X9ySqP7VV2O9H8yZJEiTkCG9jm+DRbNxaZnEe2uA+0udm5dr9TgN0386o0Bv7dk4F
wnKPj0acNYRcyKym274z7hLW0WsdecHKrZWkQAy3pbRPTcrzfs2C20jX3VBFjxYSKQ5/2zkaOb6I
jAXeJqwYT1TYriO35+4klJLRDvZc3hLr9109MrsPcu+G+Qt4lLbP17TEZFL0CNWCHtFl32WfeuTi
pp3HG54wFvJVKValoRbkATKOdueHLGbGFP5Z0Xv9ga1IhsVs+prXzR7pJVHoE/ECMobwwmaeJUua
PvVFYBDRaNcrB3j7RoQNwx2wKWy6suBqEG15zivRPsfCYZppzbWmxirQkAYC4lN3ZoY4pCaAaGQ3
AqnKnK5moV0Nsj4QXHFjuEzFxnjtGGwIK/8SVPWxqwxga2iVjZSA7lxUzz6K46UDQaYWDRrqZNx2
JmYs2baf+pjk2sR9MX156oeJh0wEm6fftD6WZNlAhdEnAu/DV07WR13WO38Iz7rF0CuWR+CqCApC
0nQjYt4aTT6Xs3V0ouxEHpUkEi2D+pwADsrIZOQRTdXtruzaP8ckW6ZJcWmbBA94Nu/LwL6yxmjH
khBHQbnPPCD6hZ5gtabJt2N56w3ZXQsKsS8mMjny/D4nCGGZacmRlMG9rmsnZMtLSqGtMVb7Fn6N
loT7wKmOAQMu25THNBeHWvKklS4TsPIzSYjrOAluR59KYbLK9eyH6xq1tlW1b8zFr5gALRsuupFQ
J2Twn23JKKfx8n2hR5faiNdo0JeeSaCpzMDQjvpdk6AWbnMW2iRYoc8M1qRuIOTDXKqwfR1r8DYW
u6wznnsXW2wsxo2lFaR5ahOlRbVgFVZxuifPTJyQ8qBfH9AqeQktDT50skXiR4KBtwhDb1D1hXCJ
xP00ICSKy6eCbf9KZiSKaH30xa+LHl370CGMkdds4679QH4cdUbEUVyuTd8BuBDtvUj3Nghgj30y
v5WTdd2Wgnc8pO2VbXCxBMVggeV2WHZNpVj7k+2eC1EccpMAyZQuKGz129TUrtIWqp8WyE2DIn/h
WyHu1kaH2jHZL9YQT3ceJ80K1ODVOLrdSmM3N1rzbanZL4YR+4B9qmedtAdSlbtN0vRMUxveteuL
naeOHlS8zFW8cBfUbAuRUZ1KJDlJoM1nzaiPpQjQ59osVKs6+4qGCenrVOEH5N+mZFqJvroLorHc
wubYD44BWqXtiG9ST23LfB4FN1qMIGdVj166YHh0LZLoGo/m0ozNcO+Ec3NV+nAoolE+GZCMD0Pt
33pN+qJHpblTtzvZVWhswHtskrqXL26Ie7U0b8UwRlcewlxXlPug1O8NIMVzYemLaOhIrsRMlCVX
VaBvO8ckwt7KviJWg7okDdIL3fukZebSxseE/Nc+ZVbfGO0z8c0Xb6wUPNS5jkVwnWH9TR1zYrMe
P1ap92KO8kIwXnG0JOaGDqzjxmjNlzlDNtoITdmOCN3s+Yu1SjCbj/APM1rcxSkeziYveTqiudfl
HbYPgzaironnJX3MNMhelba2NkTkw4n4oeP7zfRJDZf+lIzgTIeP6qH+FTzjPWnrvzRQRqTruIry
CFAbFMv81MzjwjPv/v5FftY1fn8RGwIfPjFBK/lzl5b4BNZpTROd9Wmv5Scd+btm3rfDN+XST9b7
HydpdKL/+V4chjSm4gtB2/n5ZXxd9+gCdAp34+tQPGjym7L2n/z9zHkgOOJg5OP69bNqvMkuCjtL
z/nAhbZzffamf3Tfv/kufvP7E4th8AnxQVnMAn/+/QNHJfJaVXZ26TusG+t/IJF/+fsrzN9/fNc/
fD6/fNfkkAnymvl8IEzjxUpwUjsrZA7jWxqv/v6t/OalVPwRjF/TYuvr/fJVpC4BscNcJGc93nU1
Gs9FSSiCueQxDCX+719L/dq/vK2fvhZ1if8wANNFlPUO68ZzKZeQ3C36rnbFmTr1m79/od+9qR+/
/1/eVO7EXtG5316IGGQCH8dww3NEPYrL/+Va+8196TDS09GMEbphGKjQfnxT0sqNggdvfm7kxk9f
+3Ft+Z///u387nL74SV+vdxmbJtFgDTznLuvsf9iav+Hy1lRlxmCon9DdP3zW4grZO6mZuTnmBOQ
xN50+j8cXq4gJEPJrw1JRM/Pr5BrOfW9LYrz7LwOznUHnl9v/5ez63dfOhcxY1xUCphb1fj1h6uL
pIcyn9w5O9cUftPSJWLbuu1rlu8ryMt//4385rVc1A5I+BwXQeCv52TouzrGXis/h6qnXpOVFRJu
Vy0KaqzL+0v9K2dR65U/Dt3Va/v6/95y/F7T9Wv29t//df1achV/+y/7L//9X/8zJuVn/hh3Gh90
nlQ8QBwDbIu6pv4Y9hsfbKVIQcOp/w/u/Pu4EzEL4wrEJdJjDPnuLPhTzCIs0+NPpLIeIEH5JxNP
qatD5s/TDpqMmqlyCmFFgDrJkPfn6xEhR2ZaJGKdy7JBW0WJsag9tMalNT2IuIIXiip7wAznl90n
vfPhZsAq0kfziGAuxW+pPXh9tdKt6WTNJWPFltQN7FWkikdnm7CQyXdv9DTAM8Nof10N+jYZvdMg
rasiK7Zu4O262KChYDPr2sxR60ABsezhzraKjl29eNPs/IhUtmSoZAYnR1nZUYf5C7ey1pPRorPU
9G2G0Vu3EJSVhvvolPKGwv9sYXlgbZn33pXsU3IMpq0/Ei0wWd5tGgd3AeVhbpFtPlkgb4K00Flj
mG9DEcSnee7K17zldSar385ajeaGIB9U8zuaFn2DnZaRT4pNv6UGR8wYlIdOh9xmlHA3OwMtWRJW
OIWsjVelnwJC+9qJX73sm21X1VGyhCu7HWdUlo5OCuuQ7MD3rEfQtigMw1VtpmJPtuxR6hihBJE9
PrNeUg71Eh8zE8UEWag32HeViGzI13W7ZHLMu/Bq8+ymoGKHTl8UM2t/qwG+yXgOOq5cyjxvl03r
f2wC9z7G5c76X+7MyX+jSmFjbo5L17OzVcNIF0MvfBvNNHdF6CMJSjL9nlkohtTR2tPDjSszKC94
GnYjQUzL0FI6hbmpljAR/T3TS0S7utrSxh7mYgJA5jCawPICtcJx/rkWNGh9JdDAa7NS0wqXxU8C
EZyICMKbwpXWCn3TD7qXcNwb2SkhgWJvd5q1Y40zsM92kz16k9XomCyITJPgXMOJty0e02pXN0Hh
37lgCA4CvUygFeXaxQJ+mJWYRqCqqVHXMK6tlfVwZ2pIUjn/4cV11rp3Kfj7vDjmqHQapdYZc0Q0
6Hf0sX8ulaDHnqPHTkl8Iukh9kH1AwJGXzvogDr0QJkSBtUohGYlFSrATLZoh/LZ5ZbQHlslKsJt
v4sNOhc7MM8OuqMO/ZEVsf9u3iVJSbON0SilSqyke+3HGfVSrycPnpIzZeiaAgOBE3PYDKFZFa1r
JX+KwpxgzOQUBuAQlEAKsucpRzHVKunUgIYKSNwDWTHVMtACxKHorGRUPvborjQwOYtaSbF6NFma
0F56JdIaWvcklWwLXWRyayfmRwxnx0Y4X5y5OdJ6X88ovgIl/WoK6zwqMVheZ9tUycNKxz7KEZiA
Eo5pRnjplZQsQVNmOPeJtjYn91giNvOU6sxX+rMcIVrUs51vkxQSL/ouo6hfSq29xEq9xijrJrT8
YokFeyUH8qIQummavZsbTMvw9SuSDVDD1cjiUuRxjuftnT45s2RcdibfutLR9UpRl2TzR09p7FpU
wshDGKWRLKkkeC1avG6Y9x7aPMMqEekJAQ0I2V4ZxXdtan3ylKCvG+Em5pXzCMMuRxGH7K/G37iQ
YYtniLNw4c3puG1yY8qu/33iflsyUsb89RP3XL+SKf+bZy4/9f2ZKxx8FbBosdK55jfu7PdnrnA/
4LiwgKPbLiWYQrd/f+bKDywRbbbrEgrMe/bc9w27lB+QnOK3wI0hkZHyEP8HG3bWiL88c3l28/Rm
/QkTziTn7pcasILEGg2O7uOOEuBm5zTx2Ht7/lEbK/2YOyCqoTBN3UczDg+RP71gcp6XpRN/loiZ
Gb3wnIOExaZiXUk9RhxYlQh4Iq5bhIHFI3w1AnqFpze4/Bn7LDTiAoChlrJ+NUkgfmtBVtYbI7eI
mm44FHLmcjnbhg18lbhatynBwcu0NvtNVceefZhUprvH7dS8x7wnUWkniEHHGkdd/VVzCYq2VDK8
FfmMwQmL913MrLYClGqSsz9VmfII8EhzJWY+ZW5cEjvP4oCn7HAr5HwVEkvvS+3KLNK9IK5+ZDax
tOw6XTAttZYoqbqV0ZjhVYltXS+1m7hnm1X67hFib7y0AzdfBsxFrvKmIFMdxdB6suN4UZcarNuq
O49tc9YSXMIDCxx0c2I9FwUU0AApxIIDllSISE7110S2d0j67ijqUPr1aZvfaFUyn6SZsGkoIbzb
4TMJeEundZcQhbNTb0L3kkWIwZt4DaNkaGgULrPCbuVNMrvTbGvYlC4zSqdCPVVzLuYVb7dMAfAa
gN782bFXhsjDcx8AuIvKGEK2xaRx1IqLPTChBaEGZ7UG09Nh5TaopSLtRPDZpreF4gqV5kODUA+0
V8SMNnU3FFwRK+FsObKYwqrolC9wfimshEaxssih7S2biaX0D7fibyYO/9FlcsPRntsUCPRRFLY/
F5PE2w564jU40fWw3Mh0MF4JxHWXA2Sv8Ftz82/HoXrzvz7/btLXz2/1b84/fur7+YfEQmeqBMH5
XUahav7v55+B5cw1KYRs5lrv3cMf55/ylREqoqBVNKa/+soEXQdZn8Y7//sfxXKix/nl/KPnwHNB
Fga2ZIM++Jfzr58GqgrTGc4tYSkgIZKnop8uTtETbOYFZ5TH8WdusRyGjbyXrYyXvdSo5Jzhqxbq
G4Qg5mKWGpsGYryg1bEQctj8RLX/qQ4oQcfUgRXZ5RfTS4OtTqDcduj9ExGdaP1K5xNQqDu7n59C
qj2WLCQAGiXIBSLed4lTIqilE8ocYv2kl2/m1LjjtbDxIPurhw6GQzdhKHFZhfuzfWoTCBKYcxYQ
pr7EjXsymSvr5ngOg2ZXOKJckHR5a4S6voFc3i9is1foiGLNmAZ3kwHqNVP2q8AA1l8tJbKrPcQz
yCWl2AkgyhuvRVKZsP9cdxhR1zLxt3aSMjKQGYdmad4DvMK/6606Kddd2WBAxmVKJuO0xz9nLts8
BPOkz4+W9wX646o2RlXRHpy+fe70OVqWMdnnpspF6ybiAuyeiDxrnN56HWeVcDaO1Bx8p+FjIDjk
AXix0WXNwWh+Qc1HBeuch8i5VjU4UuzHQrM+ITE5YihlhzOvbOnQ0Yg98fS3CLxzRuT2xeUT8iMH
XG9BwluaXtemd7Ej/VMyzvpi1D2xsLBKIasYHjLDfIkZYnK2krLU5+am7ESjVM1H6H/3hJPmS3vW
H6M+xtiTk7Io/YdyrK9RAeDzwk7VpCl5ruHHsdfuS8maOBwvrWdvdFt77rT4c8qYZGERQbesS5iK
s1pkGg1iUSBLekfqXGV6J76mqwHeCs/ElW9+ZQG7Jr2CbMtu3pRO0YAXUQ6meAefh3o9cLZz7FiL
Oi8+ytwGHtGoCJHx1ewGri9w1iSIYJ7v0deKPv3ic0V6tczwERZbkdqHzp52hd2SSEIAiRHKe4sO
IeDoX8x+dSP0AR4LOosV9S3cbW2KV1rYEf8nXeZWuA7ilg9pzoEUWiE+ORN1a2uXa6/MdpOe1d4a
mhU+KdS310ZXPI4N/q295J57yWibC+WaDwOeKKRsPhTVFN5OQ+3t/QRRA5iqcYvxGg90N5gQBES8
nhRcPdLKrzSOrcdqtGpxn4d+PK1boCLzQ28VYMGtfnQbElThq9/lvkTMwtLpMQIdtjZFd6d7FoDu
Cf1tblorb0Dg48LqcHJvC2qrWWnCdXGz1OmBtY2zznpfbVXlS9FbuF1mbrc05JImtpTMK7oOgEty
qSG6D1xvvHNBTC8KRAZjOH9Rz96oCtwV2uiNjju0SzLKghElVG674SpxA1YyzvVomkBSouWsu0+R
RciHi1UQjeQGNdcecs2iZsWajsUNlLVN2UOznrUGeQsqIq1vD2aYB9cp4QKJad/x6YotzKXrJq5v
xqp78ECS1RIYW+APnxrbfCwK+ZzpDt5+vyKoSrKiruZZST4erRA9QDHTxrDZvh783lvkwPeXSZiC
BANwi3F4Se4MOTKtRb9klwuj0ta1TL5OMI3K2HksqwgglvmpbuZiqWfO2cZSYncFkShVSBpONbD2
bOkcdV980sf44hr5FV9etfBiXOJt4jxkPaTbOZXt0hrccM1eb2XPmrnyLA9FZlKtipabaeLWc2be
Z2jsmwCvSBTSvnWcAoY4wPI7wiW4SiyQQBAbka+RJkkIGNG6MsKd1zlQB8xMzGs/ad+0kADTwqvi
TQt7ChKnfp37nrYGkDTtDLbCc+C/alOGkWZ+0CZJrOg4fSa+Ob6bADws6wEZTwNDKZuIdXWC6vPA
2gI1CaOUIssfItfGQ1B+jmYHUJChZzCW6p2WGw+O0WVLv+TbSB2fOOBEX2HW4NgY9k4GOM63O7yp
PB3K9rNnDLS/Wcq1hgCDsi3VA7DHta5yFyjIcDgoG3Xjt4330cggvJ7+7QjfO0I16v/riui+g/KT
5b/pCdXPfa+JEF0jIBUOA1d2YSibf6iJ9A822ZCoSw3M8+xH/uwJ3Q8mrRqYM0D7/C9Kx/p9Dut8
+BXj8g96Qtv6pXRWpkJs+5K6Gai3cvb/XDqL3sKpVGTZeYZ7izgJvxYRESNE3DmPi02vILmEmZxM
hc0lbmWnd2IboZ0MOzxCLNw8OLs5e+EO7u7QlK8JHF6/SZfEKpzGWVwFnrmbQ2ZdiUL3hk7wQmzV
ba+gvjZ0X2yT9tJ8B/4q9O8s4FZmCgecJgSluAoRXMAK7vDbAg3OblyFEfYKT0c1pi0ZGYMvtjYS
4nAId7FUCOLSi58HBSUuoBO7VkUH15HHlCh0cWcXsKaBGVsjmNJZAY6jHtSxNblXLexjCQMZDuIb
BqdTY3rKKHM/TOTlkkK+LaAn2xbrkgKesgVXOVWAZS+0HiTE5bloPw6hvSHCuEfChaBj8NwbE0oz
YRIE/CbX8YA3WRM+uCSAzrGTatgntSdP4UEK3Nk69Gfc5qjQ4UETKtHuyTDiaa1g0XCSM1C/3sfR
yW7QhqITdIvrsrrVC7nJMB5Ojjizwdx0crxM8KjJWEDJiydFCuR5qfbcmz5yFn1jd4AovR7Bl0yz
TxGU61LhrjMFvhZjfD0pFHaVEO45+rhaEjDZlbm337nZrUJoSwXTDqBq+wqvnVl0iVPX34WkHPDP
0QZKXbpqoXJ3/Bo+D5FlooDd5lBsrUjns3EFab7TkTDoGGc2NR4CinRVKPT3BAM8covjMPhfzIqY
9ciGEl7YF81A5qy19pWnQOKdQoqHCi4e1eFFYyJpxa1JoBpDw7GK710//+zq7Db97DYLky/ESj4G
HuM/lNwg/HhTu1KBzTG2uZBsx2BJzs9GKvx55OBTpWBAWNKtZkzZ1pzg/Ot3iUEeQ96NExVa98aU
p1yZNrNJ3SmfC4jrHj69q9Di064Ujv2dbpKPlEKyqRlmsylbzJBrFjYrhdM81Q8VbHe2G7AR9Ziq
OsIKixzERUaVd4sUKrxOoteVgBPfuc1zBDeeYLwLs/Zo6SikvCaAy2cKM5/7qIW8CToZjv6PJSx6
Fya9tIaADcN8zfqEKk8TK8Y4F690Lx3t/iCZKwvf3zuJ5oKkgANBdM9mVBh8BuQIAIOkwecEJD+u
wOVr8/QayBkWuELpp3yii5bHTNtrKx3avnjH7isAP4CpbTQb2XpKLtSAtBJAV8H1a8n02vbg+8f+
PkkFM0z3JlF8f1j+MB0V818C/59ciLctcQDq4Ru+x4hH1bAoBQsXTLhMlkgb53udDkAY1oh5TUwV
hLkZmvmm8ttTFF2olfJ15E75GkLCazFHu6lsmebYUKd0B5IAhgxnMdXgEo1quIMcVNAptGLrG4FH
GitAzKGnaRs6rkD++1cjJRxpslJ/QToPYtlUu1Sd/tZkXBKmnUUw4pyHsq6umxQdLtlTbxQLZ0cb
Nk1M5YcC0VznqIc2tmDYpc/1lS/0LaUm3zaf+JEUJsC1jGfwmeQvZpYWG7im+SqIXA+iMmi9dAp2
vmmPu0JMr5VN3J/H0QgJcVPJjgTb0DzNbQjlnMINlxarpUjeDXFGoK5Z3FSNvo1r8x6Z3UYW4g7R
k7EsZkSOeuG8BqyQGC8dDN7caojQm1t694AuVSz9OFKJSVCBa4uLmgzUl96eX+oW4mtjBrsg1ShE
RAcWC+Wl2XZ3pYtMu074fqUG1ANSMrN/n+YrA95bpxwVFD+hd+ag2wYV0mvDbO4nf3hMjPaprlx8
a0n3ZHrAMAQcMVitBoG8TYzj1Q0tzASqDQgqRuxCIguN73JbbueyK1Z+Il6GBOKsB4PDorVioYQJ
VZb2wquNx96+HZrD7D8PcJtDeQv/dwFw+RHA4UMkM76avN3aeUG7B6e6TEWD9t5+Exz0azF6N8hr
ubUBZe80IpDgg8zROnUi9Mcmbg1vuCKs/tJ7xs4ZoY6NLJzmSagcgmNYTPMiCronp4VOq1ftoWqv
GZUuWotUxQDjJdmLkOoLL8LfUaNSq6MnMc3bNK3jK9YOYsMe8OQxDiWgvUs2sh1jBpRSgsSAgGr5
2Xoog4OlWuSGFgIQTRF4CAI7AB/mWLy57CBOQ94SKQRp0XKe4iIbtjVWxGjRVvN0LeDCLsOG7xkM
ic2WC/ZI5C8Lzq+D386Y+mRdnPVZAy7StOa+d8JrXMOu+9qZ07Sdx5FoYIaNax4eMYvHYJNZ4mSU
1p7T6GD7XDpIhhY1C7eVVps0Xk7JCdFXoJ8bbQcA8do0m2CXh/qbnPQ3fwo+8chBbReOdI1gS10H
HqbOW+d3bKQoVsmYfh6jBDByEAKLiTG0+jiv88B+DkfE9JNo4/VQ0SmIpkDOTC/Ta0qgbrMxWqXl
p1Y/CNO/JL6z07TBIAyQBOiSlIWIcPhlkuoPfPw8xUX6Vo7xoQcQtimr8RYt8jZ2wZ5Y0sk3+QjJ
a6Kkx5GNH1hUw3Pe0gCO6Z1lTis7tR4yr7qZqhhu75zsB9Pe1FF6g+U/Y2s1bpDy3pP1+ZnD9QZ9
e75MQy6ByK4uQqs3HHAk9pgATTzRXOchAxpnxlpvt9ir4+zseCQTJn6I5JtB+boe6T8591ME5jPd
ud2ss5FxeGmbDdwS43Vu4CGlw7B1QFHCK7KvKXKf67q8Gp3UoS3R1iIit2pwX3i0sAM1LnXVH7lz
dzihGPEM4UM5Q92Jo/Q0CB61ibiK/Pbop8WTVYrnwU9UEJXz1DDuKUasL0PkATLXaJE9K3jMJp2N
FWCkOTrUZn0CCbwpBwMKYOTehlbJM1qzH7qyP81g+vQ8+pSa1qFKIGM3crqii+92Uz2B+BztUyaY
v9sZB6GGPd+K4DNbJip542rQ52NXS0l0J5gMm1DQeMiyG4lxewVfWVtoCGRXZIvNTOzY8Q/IIvAm
5dOybBwEi3O9axiIgGGKPzkDNYw7djdO2citV5PRx8y/ucoqwlkrOcCqAEgEsGebpL629aCfUnP6
LTeXhRTbvGfMf7AjJ9uyJdl7VFtMC0oZ24u59+zo3wH1N3mLmtf+dTt2ifo3RNZfftOPqR/8ox8z
aa3AQr4HKL+DXL6PqNne2Q6yGBytdH/0HX+2Y+YHnWkAezjkKjRmFjPv7+2Y/GAaisLJXkb5Zmni
/kE75v3cjTEXB6PGhhCnrQ1qRtp0iz+qtEIjR8nMoX0CjV2VzpUGlBp8EYmQTaavkIwnZ68zZMLd
7TMWRgg8b8Q0QWOfWkCOLnl0566oNPLvwC5ZVg6oiDC/Fezg/Eg2a3bHHHQ4d6NZXhGFUXxug3Y4
GNmQ3JliIE+miHGvtaPzRnAw6gvT9Tciri28sFVbfGSYrHsMl5hm1AMgDS/dJoYYVnOaW584+cVX
TUbzxWjsqFt6MCQX+cR9q7seLY1drUaDU5poQ9xkIYjFLOv8e4M8x0tXaml4p8PzCJpt6ohq3iOW
8FH+szSVYKKcHFL/wuxA/hqLnlUr/GNC3IrplWKnv61r4Q6oTmrDXDEc7/VrYFxwCqyoih+0eLaY
ZvWJ44BcVBSUoZYTZVI/VR+TrpN7s8/a9cwWYuXMhAOV08Fty2ol1KJS72vPOvZqh0kxxDozU5tN
LNEsObVKLTynKJeSx00T7ydsPd6qmM3LLCAs7wy1Ny1YoLZxGlJj+RIOOAbDvVvBjLjMMbqLqbZy
OLwhF+Zwyrx0yrVv67F/V1Ym9+hfnwh3Rfqa/yZSXf3U9+OAvRR6ccEQhhgIixT0H8YzBL3oNrZg
E2Em2Fz+6PvK3v2g/ld8yYxoJJrzH84D9wNRtI6uTLyGcg3/I5SucPmb/kMmx2rTwRGPyxiH8s8H
gulmlO2dMZ1dePc3Tjxll0iUzjMBWsYBolryQpnjbNy2108DkKFFP/fhSlj9/Oh4Q3sX6kW6ZTwd
HW3WUfD62nqdY15fu+BUUqVS6aXwrywL3o0cW36+d3VQrGiH1jo5LzvN9Q6jwRy2acN2h9sh+Rz5
er6NcwQwdFeEj5XN+DELw+BAnDe+Uq2NV0aus7R33ZLKaHr0DCyAqXyd/MxhuyDcTUtY3DFPCm9d
F8O4HFvPp2DSz+S7F/ATgbh6NuFxZIjv0Mu2i8KTEOT0eKbqYSyP4UQM5m2bZyvGC8FXJy5fwjHw
ceL0yygpDzH6MxXOQMTI7LG7wcV9E4jgWU+mQ9TJemOW+a1VVPoaCZ22be1gZpjbyQPIXGedyvTI
/KbZk2XurXR6Kx7subnuDcPf2YL8HAIikkOVwfvzi/52rlFOlSnAGBRi80KzLPxBrGJoJq9jCe+8
n/h0tE4LLxFiCHRDQpybhrS3yRnKfRU2h86IP3Lgj+zkWgIYXDteC7qyMKjmFi4WX5g2oPtLlQLQ
RwoYmxocerSBIyLB7F0tqHSDKKHj04iUUEvQFFY605pM6QwhIGBTDu5Yid2ys5SLZBy3BtJE431n
Yiq9Yo1wEVHcTYGQUQ8aZ5kibWQ0tEUsQIAnokdfqR9tpYNMlSKyaaxy6eTZkXL8zVKqycYe7voQ
4V1jsGBNlLYSNdoZkNEuR3TZI76MEWGWiDFDpcqclT7T9u2byYeaiHAzmyOqZKScHg5wNHmIO6dy
VSL2RDiDgw35p+3DepoRhGZGTaQOClEPqejoFNsC6SjUKyZALCcRNrNNbd8FUFVi0dHR1nefTQVN
Q2yD/5exzxXldsldQWzsleDBAHZ4SosD0F5JqHI9XgU4tfb/Tsvfp+USifHfHMavn2uky3n7mwNZ
/eQPB7JOBeToDgSZb1XY9wKNsxoAn+KUfPsTfurPA9lhKAOFhJqJegxx8h8FGgcyuS5kpFmuit76
ZwWawfn9HweyOo4dw9JNBFmW0hj8oKOXcZ+zwhqH85i6CCkB5W+wb8XrMu6XmTO2G8DWDdG0ltm/
MH45cjh6W1t3HRZdEYEuU9Cs/NwVlyCw16hg2chOubO09Ug76u38avnGfE3+3Bu4Nviq+Aw5Wfw7
Zjz2Ke/p5KZeVpsScu01LqV1HISPLRDrgUZpE3nuIWuNg1mLr8k4PQ4hy3YzOVcpLlJh7LwIbQFN
Y7iIMlky0hbcSZNMV6NuEozpsX5H3PEWO+bDYGsfk157AzlXrRx/QtEzMCEEsvilApNLRKN23VKM
rUB9K3Qe0mNamU8qaYWFHD7klC0/nVUbrbqpeAyz4tawg7VdQF9wJtIOqq7t10FNqOcpiPZ2KS9V
Y+P19t9mZV7Pb2yBzRnI93XOvnwe46esAoYNgDbMrfvegi6qx1+nwFR9t3Hr1tME8AAsRB80iEx5
TkwdSU5dGqabsU1J8/CIF67t6S4LWosMhsHcoZqNl5J2GzFH5+CtM+clZ/O8bPzYWzNsblZmG+yS
kN45A50LoDy+gAwwKGRT8psn9uMiIlzFKjR5qskAIq0Bmm2CY+/AxOZSNCN+PLxKWwSbe3QF0aqW
bYRNOLZ2ne9NyWMeaE5wMpo5e4obC7lbitqLj6+fl6O0QUKNEWHdlvu1wcI4hv05bGu8wu9rvPZ9
pVcrSCgTQ0dbeQK5bWQKfwOnlXWATidPYDOOUGPKNyUT+FM2G9H/Z+/MduPGsm37K+cHaJDcbIGL
+xDBaBWN+u6FsGyJfd/z6+/YcjpTdmY6b+Kch/NQKKBQLikUHbn32mvNOeYd2uR7mj8jm6v7nERj
Bm2ijM6DEevwjTskepNz6+bDTkBVJuenw/2I2LrWtDulI4G4UwexGsnx2RA5FFxnhqT/0lg4N7nL
rsNnKZr+OELRuOUKQBtv2MUSI814SShQs3K6obwNqv6lwRRzYSd6j1M3fC01ArNnY2JTdrWTAkcf
NT9WTiLBNKa1bbetO7/e6jj4byqrYrcq7Pw20YEFlFoUosMubwsH5mRrIVWghEElYm5HC61D5ysA
IGRx0RYTDnPKDUXU4zKTJYgZ4c/Hf4NAOvKJkJrUz+wgyyoc7p3JKFGuU8wQGx17geECuRgNZUeW
2fCcxMMAt6DyaU22+WYsi+RLgoJum2I3X8yVs08G2le9LKbq1p0Nr0ZJvbBksTXIsivEp3l0+unU
cGygbYkJyy4i7sysr9ej6kD51fPmqDiQNRvIdIvEHOfVf/ajb9NbVIB/vx/dvoaf/woIK8MqPuxF
VPEoxaQEFx8ga/3ve5HAXsORwbAdUGfvNKHf9iJD/WSYOh0Bg7r9fXr7x17kfqKNgKUT/a08G/y7
vcjUfnQM4qExENpp8rnItLLe3Tof9yIEaHg0eBnn3g2TxouFuMMIt43zXNl3abDSwFovTaWfUDh0
OxZwbQFqjllN7+5bM7GWpRDaOoinW0cpqk0Xo4DItYiARytbxV35JdBHJsLgqkakX1bRKZ5QuvuG
ltb1RMN/Y9UWF7ExWYDKbc+qdEhEdl8fAeaSlhvo4Xq0tZfWb95UZBdbDCqAnmPJhimaZBWNHZPK
8cqGQHRVlVm6DJLB8dSU8VftWGTYQPwhRcllXuNCz854Vc6YrOOgU4hftf1VnMlhTBd91XLoXV4j
hUFtHvcA/CBLBiXRG61gB038XDv7Ol6bscv5/0I339paqjFVGq/miIz52lYRoLgRolWqCNl2oK4U
wxH5xTkmpH4krL6tWeaoKD+3hOtcWAHDz6LtzUXvx9egf5aJVVz0ioqRyUI6CBGdvniITrbuapY8
aKY1XZuVSjolDVQoRvW2JJt4Z1bzJdiKyWMxfmC2+qWoi1MFao8hckhGEQ7a1r8NelS0A1z4PnHf
6tLYqZ17NBuUSXqjWEsGdvamTIvHeEj3Vh49jXHbLCdXeRsDB/tBixEm7Z/N3H0tc7vaaQZWlDiH
bZJbfCx9SktShEF4iFCIL5KqiZ71nPSlKb5PVDujnwR5ki7PSM3iEuACXXIxN82D1TdPjjXiKdKL
VRIwDZkCluIyre4LJtjrTE1REzhW4DXqeItbfIlNvBcM3VU6uDMWHItIXxzj3WXZsPGr9hCv6plC
vWwfOUp8RapmrH2hfS39hNEZU/t97uugPR2xDnK7X1sjMZFzBWYl4XLddBinwSUZWb2INMABpSF2
Sue6m4Cj9FI4BTdC4bxNseUZSfMiygHvPcFuKy1u6EFbzRtHAotXS8nDvV8uyzxJ1yh0CK2CqWQT
87WkkEshpeO174tw9nxyUYWkeyAU2ATwn7zQGc+i97e6mSNLyM9W4rBjROtO32UZmP6jy99sjPam
rIZ2aU02gHfrwSZ3kxkgUkIRT54fj5tE05ZqFb02eftop6HqFSPH4CIu0dDR+F8Wbusu2jhfF0l5
1PVuQzblHUicXVIFhxbqKiM0bMT6dKmnEIA6RnT24HK1j+M5S/V5D4vnKWyik2mVMOvUwd7FlX3Q
XfIjW5AHClmDTgPLq0iSmZMf1VwQag7KOS3adXF00LuIAXX5lGojw7ShoXmv+XeGbT50dXPWs8SA
JVu43hhr1hLUienVeYsaP7BxGnTtJjCAH7vWDFiVzsZg+Q+zz+uryg4FYSRYengc/NwRaH3qlXGy
8+f6tcqFsQKJid6McRuH3BmDKc4Al4912bfhg+6Lq3ZgGCSibiJipzG8pIdillTqmwnux4iiQ0TS
JTE5meCyxkeYRU+zJW59WerWfoFytEWekcTatem4T2B90JyK/EpX0M2CR32z3A4wDcyrKnd8FAH0
IMNu4+f6bR82R7VXQKmUzh55AlHWdnaVwpQY7UjZh0N6F5lt7qntuLcmh4IV71M7QtCnQkqJg8RD
kDK082Y1PM75oDDfAy8Kg+gtmP3bquT4PmmgP0UUlpsxjL/WJSzTguxF1Rlmj14H2Q6cli4GIBfb
1inX9oDgda7mq0mIYYU4EE+jG9yMIlp1urJ1/fLCdbOerki9x6iCplgLCQmk0t+IweqWqVWYa0bu
j1mtrttA/UwAQURfICSfdOhP0PHvdLM/zHbBQ/VoZfTGuo6DVV84F1FZb2PEZ1ts9Mz6Z+YdKL43
yFW+oJo8mgFr9uiKFRUgk7r6FV7psR2rz/MYrGyC/PBvdEu03E8Fzjg/cQiMHXzkeWQltKymQbs2
ei4ClfVIsFPYUep4oMWh70z2bdlFx9kwX5OWhTISVoF2z95ycxNVNEdHTQxYSRr3XIMK2ejGAHi2
RnWUUtjbA2i3XieSiGqtNlESWjIkWCUtmL2zXhVR2C0UStyVyqH07Mh4YcU29U3d1I9Rot2YeUey
0+zeaXb7FMtwYualI300Lg3ylzVWEOa6xBkL3xk3tVuveX0vTBzpmjvF10ZmILsxpLlc5iJDnTLx
wlaX7HkQzPnZUIYXrUxTbns48CX5ym7WffVle0a1q69ERJ3jmOx2X6Yyt+jQtdLqSFIisRn9VO8R
NkSKs8xz5i6rlr5jnkJb5S6Tqc9KhAKBGOjJpPVks07KfOiBoOhJJkZHSvyMYv0LfqClCLNsg5pr
Qx3Bd+D3NxpjwGXVg7SeFXtXtiFbcU4CJ5gRGzfuPBHUqDVnWQ8HU/aWqEmxxOJ2Hm1E4IhLDipa
TFC55RtSkGClGu7TUCjaSqlIsQ5y63MSmiacYuVRrTr/ipjBI6s5yM6jASA9jAwToXgXOjsVjXxF
/CqhYdaijlTMQMgZ+nmlkgsbHv5TR7/X0QZl79/X0Tft5zxq0s9dQ9387lD/w48uH/l7La1KL5uk
duioDW2NRvfvtbT0hlC9GljgTI0298e+jopnQ8eyxqJlvf/o++DN/kSLnQIbWrtFhJtl/ZvBGyns
P/d1HJVKnmIZSjEdbvWnvo7iKCKpiZc7d+wk8xF3rBmfNJRZ+qolOuESpnmPTTc1TyY3IVfXF0OG
h9V6dttrNAMyLTtUev2UTsU+bfLriNyxVgaQiRgHCIlkEJsxfZNRFgiwTjWpZaE6PMxx/upG2CCK
Xm9QVFvFFVDHtZaxAoXc5J0fJuj7MWalbXyEG7sYLYdzpOhz7UVHXjX2DPvXQ4CcYMd4sY5Q8Vgt
FlNNYbStvs+Xs/dZs/8+d7b6cmfLUXRlI8B+n06L90m1/z61dt0gNA51HDVPMTG7XtcDhiIFj5g6
YPzxhd1QLy5Tl8pzBfKWlkPj1PEWiDu3VVUD+2PoZrmscMP40lm0moY0f7BLcN+0qcgQBwFZRtbn
0scQYg+oKWInHdaczI+MFaqljriEXKBoVc2+ugjZFwq/v9NV/14hQbO1levezpZ5P+yMKffQvB/G
wTy7UkzjlATzpPr11ESfWQ0v0g5iWtF2RwIz84WtQLqR9H+8j9c92lUUsavcr05OUL7poqbLMGyB
Ge0HK9sGfoVuNT9l+njqCviaU3PthukWTt1dwtIZmvbW14KzFfa409PyJi1nOHlSVaJuBrO5rlvH
E+Owiy3jIbPhd7rOZ9dp9mk8sGVmEJpi9y3XsB6k1knA2hoKZ2OU81IrGhhozSXizye08iQiOB6S
0VWO3mYuQOrQ5sKpcMob2lej/jDT0umBUlFHnTiWYalBCBiGp9gvTo1wcaSYRPC2exI0NqWlPutm
vHai9liK9iUonHglRQqB7d7SM+TIom0o5nGFEGjaueqp05myVvGpBuZYEbBLwXNnhmKXxvIbRnIF
YHnX4J53IqKs/OrVpY/Y5+kD8Rl3hRpet6Gy9kvzIAxnjaT9pMaEZ1mTdhiM8YWZart0c81Lcu2A
C2WPRJIzUnsIbJDrEeT2MdwVDYcuZ6pfa1tHXTVe1xO+Gj/ozSvbrDeRNYQnyzeOk6nDNklxpcLe
r+hw6oWQHig+L3Oszqpl4gzhkupcY5f2jbIE+8pkoXG/TsF4UkfsL5kguSC4GqvW8kZwdsBZbU9U
1XMbT1x+wmJr9Ddj1U9rRfjPc40ABkf82sm624SaRCjQYRKjbfBhziiBADUuRMaep4S0mspeyVd6
qB19w7g2auzm4CjJzhv5xvvYvYxLZdMYmVeCzOVgmChLpYHNRSjBsY27TeLDEiSSQaXIhutGInmk
Mxhzu+ay8kMMPkYD4prhRjg1CI6jM6C+g6iUDTUOeZvVqdSlt6vKvpRGxpcxKx529MGLfWK0ota6
Qqmyw0EhvLqIBaYyoib9eQTuAOivwLu31EO01XFUHrKIgOYEbH6mF4+tDfwARAIC0Ww+dZo4jkn0
1RLgCRRHxyaWc/6TfWeO5ddWrt9jf9qT1LR1lC5dM+wul3D4jqaLcbc3WAEyJS2XbpmjoKn8bjFE
ZbWOu+lQVNqwsER0TpLqrrc6C83jeBtYYC7kITvH/tI7yRkEiLYMq4zyuI5BhGT5kra3S2NbGQ4E
XqUXoUmWwX/2/m8zHQQov9j7P+f/tXiVOpE/7/2CR37Y+xG0mGzX+ru05uOQXftkGRg8GalAcJPJ
s7/PdEBvO/g0VdSyjG0+gOeFJS0VkkVvAZaSFcO/2vrtP7XRXN3UVEQ30hSvE5z740in6SaTAAlH
ISmTFkGK9zDy6eumFpQ8iRJO7GmrNMCFYyjDTHJQ5Erw8ACBmLSfwkthEs8SToyBOl7SNmTyK9HF
lYQYR9CMB6jGBXTjUq2OSDJ3+K4dQv4AIBuQkP2Sth3bIhUEHeaWqFIdkoQJPRmT9bKXOGVfqFeu
ymFzcMBr1nH9oI7224gceB0P5U2mx3e2Jj1kCYP6TrHnFZLDR6MrOw+1gJclCJGJqAcvWyjrHG3/
AmnhZkgUphM+3lDSMfbhbA9EpfoFJ0Wwn4rnj8ZzmfbKdBUPvdOv01EbOC0XMqqT6F61HBeazPR0
CffE0u6uSw2KRS+TP3VGAGAUxaqXqaBkS112MifU5VSWyeTQTo2/tkSJ+tT2wLgdcyHaU8o+3xQ2
JrzBXQ4uylhlKm5smUuqEVAaA3LloAjVEkQmEUhFzyi4afaVmr9UehiTZJ6GhbrCTMlYy8oMtqwk
SAAR2KaHEfxWDftVYnfoEkbsVIy8HnOjuKeDiG1kHosDE7Rpqdgue617FkGJu4U9VGs2GcPi1LX3
o+k/oh1jV0nEtCvQuRLrou407HugaJsJLioqWN+iL6SmKHp4PQ9O0Eb7Hr/pquTjWziaT9rIILIz
jKxb3Kz9OivZgV2YtMY7nbaVoFrSccGH1u/8Wm1wjrM+XakNCeSq1VTM7XCJ1qV6E2DwJXcdKmQt
zhVkXAV2L2O0KzO2d8DhN0nfbVGbN14PU7d1svPoQpAfdRSjUHeNjG8eGVcYm92OEMUHEzwvR/jN
wHgok9xeF4DvCMi3BOhbA/atAfySMr7VJPEXRVO5JICGlik4YOpQuMAaEvfRng7IqNULvvJ40XXx
a4x9sK95bQoBmytaEObWAjoMg2gjgBDrdbbyJZW47dIjlrrrTPKKJ0kuFopxE3XDS66gY21u646G
mFu5VwHI4xL0cV7O+9rS7lU3ZisDjtwASY4mpLYF2OSoSZ4zyVFWbGtdSrKyALEcStayJqnLlDSf
XZ8qTM3QsFnzaQDQTEv2QWcgVDSKVwBw1h2TLqEKoF6inYPwPIB6rupBWj3uU8mAVnVSpiQVOkqU
kw8mOqYY6yQ3mj7zSy9J0tBiDq5kS4ODukhTfo0u1CDp00Od7Rxw1H2bX/CbM9BYIfa2ZFYn7/hq
alIOzO9Q61CVgGvFCp5ikNdE3NMnlxBspdlC+H5qgGMPLiFXwLJj4Ty3HIyzzlCWBRMyoVGBg9eu
g/JxkrxtXY5xB8M6OKC4Ha1KPQ16K7Qc8RiB6x6aeplKfnfhGFcCoDcDjStdEr6nuT+aPczvEfi3
n9fOzq3LbQgWPHKSh1hPDoHa3Nl5qZKNoVICGp5epscQsHiidg9JZtzUkjiegR43Mm41tT5GIMnp
xXW7YELWGIMrT/Xqgu7eNRfJvpA88xCweeNDZZKk867rHzO98mbJQO8bFYbEcKG42oUioKRXg8Lx
AKsa+PS2rnYZOPWhx9U7J4eR1I02na/aHoKrnVVHAYh9LLlkHQrNDEQ76qbnBKuYUZm7FoR7Y6DD
AemuifC+b6IbE9Q7AtN0YVo+/jgYr73zkqjlTpN0+BlMvK/XB1Kc97nkxzeA5MMiuYgAy48A5kED
iIWO/FBDfrSMMcsYfbTOgdKTjHARAan/T23yrTahVvin2qTOP9dfo78SAQoe/b0+0Qx6CbLKcH/r
QPzRm0AUTFsAAI8q53bI8P6oT0x+QhHiQpX43tH43psQnxCwSNmeackexb8rUDSd+ugHESBCDuoc
C3gFqhMSKOXPP2hO3NFUSpfL76TgdPJMKVZ10G3sLClg7d+1rG3V1kDYJwWNa5BIvas/VE18RypH
vHLfFbG5FMfmtI9xyFhSNDu+62e7b2LaYKxmpLVYV2h9LKpvsltBeH1FXKHU4zLUrBHntu9KXadt
Ef4xl6KuV1AtLuZgjm+zgj0cxUSsL9NEnW4YFZBWrsdxuC7LFPANgJ8tueTox8zOvs+1XmFeFLf9
fZm5tEaFWdIcNBgLpRx+yA1LROlciqQvgRhU8ZNilqSvuVobLAAX+OgbtMBZ4NOnydtUTrfM/DkL
lk5k+Uu30Hd5oGbLTMTdUVXs7GRbeX/N/DNc1V2iG2QW5P22U3wTlUjlMO/CikXb0S2wBNSdNS5s
JzJJ29NS+xr7P1OGuc2ibVrb85dMV2TsnzE1+XJS2QT1deeaMdN9Q3QkTji9aDcmchOFvvOo9E/Q
+zVtlfSEEBr4pcKcDkCIVBnZMZJN6UgT8+ySYOzwa1NZBxsbOdBVU/fxMziQ5sq1G3sdp7gHFylA
ottsKE+uaMrhEu5FZ1/mStCrq6BRiwxPf9FVu1DXOv/sRHr8lEBWuh3dLkU7Z3UI9IZcjdKtKvLW
5pxGxPCO3ns87jM7MoZXa3CCV6K87A2JDD6JC2EBYtyFG94ozUSrBOBu4kTNY8gZuz5XqCHYotrF
f1aubyvXr2XLnKrW0Ma+RM2XvzpYfVQv6590B8iqoZqEr/3YVBWfNCCdtvuHduG7WM7+5OrIEJCo
//6o7wsXFghXqCbGc/TN8EH/1cnqz1I5R0bfmvyHP4qW+sdly0xV1Yn9ej7P7UPlYNr9foX8LQla
/oU/IKLON/O6o9JV1l2ZzCtfwYeFETGNVY6lQEw7KtAwMP1Fi8b82vfbD1sHtcEUFPkviNx/eh5p
2/jwPAwfSsiZpnY2ZVJYfRjsr79+Amno/+U7+ekMGmhVrnfcTWd9tOmD3NnuG6RE/Mn4PfoVzLll
0z+VxFlGly3+Zy16ZVENgku9QAUNT7TExoc3PQA0idXSuOriG3IPvRH/8q9fqUY3/pev9KdGORZd
HwyK/CzEiuWWWe1D10fLQjPOA6M8JkHgk95sRV9U/E/Hir71Wv72O5dazj+9AA3Zg4XZxGBL/An2
lQOla3vVns5TH0cauLk6PSS4t9rlVBoVvSOYroTcOM6+Hkmq74ZrDcoHK14BqlNV5mXNTAvyEl4S
OcvcDyjL6k2aPeqZ2A++inqTxrp2N4os3ojEjXGIOy39K4QJVr0rOUGS/rHW2olj1bQJ53NvRass
QHKM8aaz5k2NWzQjRn6O1z6JKEy1guYW7OlRtOmiTiyvh0qmD+QSmcSm0+Wf4tJLzNuirCrPYmw9
41GJJm3Zad3BVqW5cztVjw0z6EkRlLf5BdKeqzg+xmO26UFs32VmuijFTLvcvW0NtA2gUOIeYq4Z
BQZw9ApdjZMZqyJJn2DOIcuGz+aafuMlgfFtEva335CQ38Aft6Vk+/5w4xs/3S74/Zq4HZv5rG7E
1t/Nh/ZBbMhwOTcL7dBuqyV6GM9dTmux3Nf7bF1445OyS9btRt1Yx2gdfwOU/O0L+rHB8+dlgiLu
4+1rpIwCMnnJFsmuoCMwMH5ZVOtK/bZh/e3z/NWVyRTp9+XopwUPk+2chhwLz5i509vxaxVgJV0a
ukc98g934Y8f8be39PEm+Lkk5PuohRvp55C21CV5Qh24Gc5zDWXFMjjjhfr1E/64lv/2fII1Vjgu
VfK7ce3DCoj0arTtVOjnAVhqPr/0yuWvn+CvFkDtwxP89NnRfKEaC3T9THZth2ViwMk8Jv/wLv7p
SX5aZd0RqclEz5GB0cVc7VvrVreef/0+/mpL+vg+floeJ/ZqSIumfta5t8d0oGVz7cbEbI/f3sv/
tKnrGH2pi6Z4a/+P/MtfinKqoyBs/++P/2y+/Tt4LSRq/Id/rN6Hulfdaz1dvzZdykO/3RDyN/9/
f/jbaPh2KoGXf/6aRTmNz7aOvrT6X7SO+Vp+fbDbF5+rLsr/+qHfT3XQCF1qIvqteDp/pLFK15dj
4QyEc469S/q3vhdHzidBjYakEzj6b4awP4ojw9F++2M4FP5V5KOw5aLzwyJJkUVABqREQ6gW5diP
ixLasmwcjak+TwrGSYhZnca2lOdODGga7UZksBSGjP0sxlwcFEwmcEy+5kC9Fr5xndTda6GW1WJk
SBb3/UXI0KwHMZeg/lEYppFadHAYrs06cKmecdtUioOaQi4QDOKYhK/9wD40DOiKSblCfXNnT/mD
ycTHYZDnGIggGewxoNklDPpCAlNRwImd6YT3NaNAxVCvpiQ9dSQPEu12GqXe32V4SGIjBx8N13dw
Z1Y0cXlHq7QeXlzGjj6SwLYWzyJINz1jydy31i1jyt6oTj5jSxc/PLqQZRCWDB8BghTVkcbhg22Y
25DkNJdxHtamc6zFJykJwbrtVYxJQ7V/Yox+GYbdMRimJcKjjcFYlew4FKfkhLtvDWF4klLRkUbX
7WcGsqj+wMsYD3Hc75TG9XoGt2EwbxS4bxkDXausb6ZmAg49RueAkW9iE0rICNhssu3MSDhz2heE
p0jV8xNm1UPP6Nicu31WT9uuglbOaBlr2okiBmeaTMw2ru2QGbTDMLqVU2kjHY6JnFNrE+0uP/ks
CgNCC7Mt8LtMWO1zx4g70DNvDvpdPZMrxQg8dsedxkjcyCYmB0in8khbVAzNfRncFso5uuxsEe09
wG9jxp5One8VjN3t9/l7NW4cOZEPxpJWZxkuMob1gCoY6tbvI/xmcgcQaO+jfQzB4a4toGifjXke
SQAl6Uxs+hrDiQtSyeultUF6HIoKLRGHyeukaMt9bgGNaaQnAqEtU0Fz7r1+0uBcj1HBKIB4M9yw
8bWu6ZiIVSo1rBZxrpH7prkOJkV8GLmO8V6T3oy4tOEDS79GJ50bxGGaXoOZIzKmymvl6uoLK1nP
0vNBGQV0GBsIbHp1lVgUbDEWEXgwZF3Eb4P0jriKfqtgJingjSDyP8+6uTYwm1RNMngJHg54xa9w
xY9O3D4odIfjYy0dK/wu3pUSVJLAzhJJW0uR3Q/S51LKqbkvvS90Jcm1K42XgIDRhSodMmUDhgqg
FJAJEDb2GH91FawNvQHnrZcem0R3XoPSfc4n/c7EhMPrDzErqIh4pUNHlHRrQ+naMfMYnENCqd0D
6iyx9ggnOvdYfdBQ3Rvj9NbZ6j7GCmQUYbQeFcgQmIQg8qAPS6sTqJVqnUknkS49RQXmoryUEi03
YXAd9sLrDFA8g5Y/DhinvabKviqFBEuOqI/tMMjXcTLufCXdxCrtYHfun+YClSNBXudItV/CfnwZ
jb5GZYrYlVkXLhOarzb6icCpFYg7ZDKWKe13oW/8Qn9sidxbsEyB4CEUIED62VnR4xQI/rhiYDet
Ms9ycS517YvS1V6jY7oeffyNuf8g8JGgc0Yuqnf4sQh9wyqlL40WM99cl7chwxZPjadpRSaqtAb6
jyIFBOWXvs31JdYkSQAZhGK2mqNkgpfPbVkTIc3LE2+ZiqS49wMX9BAleRINKKGrHemKFq+t35dO
cx4zVOPT3AErE7shVE8hDa1cVfft4JAWqrgudEq4L506HpJQvRmC9sLMw1uISeoC6buX13G/cIxB
eNaoHCJY/Njmk7sauSxGrdL2UAum3U0YJvm6HpogXCqFZCpVrcp0vg93BpaiEEvmIkdcviEMtsdA
BYskb7JiPXb6vkmmq1LGUtvamF5FBee19y34f7oY2bwWMr+k+bH4+F9di1C//boWOXRR81/nl6gp
/6pZw8O/1yOQABmAm3i8ddXBiUiJ/UEBhwJGpfJwEYu+QwK/1yMETbs8xuEHKNRMOSD/Xo8Yn0ig
5mFUKmS6C/1foSd+LPA5s2Fwd/gvQ+fvMUb66UBR6/iW0O0FZyLqsO9eRMZv4Oy/PR0BH/6h5JH5
aY7Aogmnm0Gg8+6n+XgOy7RCdct0Gk9kyO7ysHPXIxF+9drOxuMoRmsAtzo1G65fIhKVkmmy1jrm
jQ4EFZIUwpGjXdtuQ1/Xr45drTioRTphVUfLUtRxZTDJD8iR1ph/N4MKG2xQS9x7WbYigw4fMy3u
TU2u5mrQLG3D/VWtmmLgkG8xq8p76zIGM7FB06R6XYE3MSKWgiw9BDHKJs/IAbvJ6zl8y+hYr8W3
FDunUZUVzAaZbuem/Guloa/RVqGRqeIGzi1jQZhB1VU78iqial7PimYulDF8FKV2gZ8BW3vKCpQQ
Ryv6asO8/zDgkV/YrXLqwv7eTMRt5TY3NdmkQd7fW0BqaKugEk4i41DVxiowqgMZsPDrg4TIYAJf
gtG6AFu0oMZ0YK+hWo5o+qvsGXMx7ZkZPpVxTD5uaiNNK6pzHVnxln3+0I3qS2glE1hS4MmGj4TQ
SbXXMC1Sb3Ld1cTUe0HujE6PCWRWO47mJhf+fFFN5UUP+2bMkm2rRMEGpWSN4noml6UkfSc6ZoNs
GAkypSnuQBLUO7+OrkOzYh/JTVBnSkKBQ28rANmcN2O9qsPspqjbixAlHVoA1foy9bCFpjoYlniI
12PJpTpqyM2ZOVB45B5U3t1YVuijSTHXYjalBAo8+BaYUUFsSiATgszRIDw4R5cEzFX3Mt9ol+rU
HivwUJhg6x05p9OmSNVXw+q+QuN3NkziM4CMSJMWYWJGV2XuZIxLjcgkA5VJnq0pexevwAZH6ZdE
CXezhT1Ws+/Qv23S0Lekgo3qzJGUzMOcOVd9nq9d3JZx7a8a6JmZRQ4PacUbZ2h1rxJ88DCUto3a
P2gzKSylGUje8jOTnGOh4jWJ6nFPh/Vy5o/2GoNeJ1zMhraBpPJZbwgvUsYdftaD8NH32/ej/1w4
857IVGdtosyvbRP+oIZuAR0e1UzXOi0KhORgYhYJ/FhbCnSkC1JrntJAf5IaXJAv2sE18gBW0rkK
t1NmwGCcO7BJc7W2Q+XWGZs7I+nJEqIhYYZgzXq0IWpE0Z71RGrTfuFMht681+5LJbx1nOxOKQtY
0cNa1sq6Pe4rV9mPI2r+Jrb2VexuUgu1mWM3nig0ZAqd0V4bQ7zn/V2YsfrMbg8kTND4JQ4+XOui
jE9kCSXbUcn0p2Jw7MfGKVDbjdPk32Wtn1yPvt1wbEq1Fcj0Gql7G3qVIqOI0zZYhi052ZWuqN7A
bXHoSzM6dYZ0eqR17zfLrrTkHYY/q1hUriwJK995mS1wxCjL7hWqk1XfWBxnIAv4adkvgEg0XMxC
ciC69ALAIbxy3bxuVZVohWqovKAvnYWmxReE1N5kZQJycSgQL5ZNsE5c49GyyCW3eq/qwKfZY5Pv
HU42R79E0jLO7PTohl+MAKCXBS+bWw4BjWHeqkGZ8DlOaPOn4BCDNV5MiX9FMOhLN7rL2I89J9bx
pyjqjW/xLYvyuekSBnXxto/bN7sezqlJFzNAhbwQQ/qkxx0kUvuZI+MCKKW+MLRKjhpj+s9N7ixi
tB+Nb3rThLsMhmNc6V8zqx03JVasOO+feuET8twS2x51z2h912XN15wMZHfZD1re3Jsdh1CtIMBm
jG/GdDrk7rBtKyQ9yhA/BOG0iwZu0XE89n62CTLa3WpqXbftfMbz/DSG5qmIjaVj9A+DRD0MhKDa
c7/uDU43o0qGo4HCx0qe5yoC5R5bG1qlSBRTjqqtE+2CZgxXocjxK5vWDVkXfIIpEiS8ZrdVH+1b
YRFjFalP7ASc2GgnKlF+SUHYbos4eDCnCpWJWm/NTKxYbjyqfILRefdZaB+czt7WSbCHZfnklj2o
omJZIlqEXbBFF7FoyPVYZHryGTm6ByN22xEVv8Dk8Bkrw57P2ovmEcOU7u6NbrpqSpWXaTT7WFW2
tWk9+6gQek74Rtvf+IbtoXmb1wAIkKdH4SXhAG++CiB6QoqgGqg8dTwwrpluKr+6zfJ2RolbbPug
r7aOm00HTRNerOuEtEfPlg+PtOZgoOtFu84z7JKFYQyXyPfChVMHYpU49WOuhsFaUZ2z6hKJNORV
JdOaiDWCyLc2LesLIFqYLQCqH4fS4nph1LuaVMamwojSryNmcU8XWWih2NKPQ9j4bx/qs8s/T3J+
6gDKnFhDEDhHFYKPk9yJH7suWmJqWZb7yimOSfu+T9wXw9z8955CVlofWqUTV7GVYDg/qUAqLU7w
5XmM/6Fb+lOX8be3Yak0YonpM6XY8uNzYPWbyISKgrM6sMvbTNhIR74FQvzrt/KjKeI98FYmCOpM
TwBv0C778WmCIp6Enfw/9s6rt40lzftfZbD3bXQOF7vAMlM5Hsu+adAS3Tnn/vT7KwUfS6L9jpcC
li9wOBeDGVlNslT11BP+ofXOG4BJBXVnhUO4VNw2+kXXYlZeUfgYT46h/5QSOq3O35YSeDxOy2Z8
39UUv/lSRTy2LknQIdPgd/yoSvWjilBxUgE6ClYEGguEmr+7mhZzYnghjoP/J0WEkBp/qSLMT3T3
IaxbiiU/2a+8NHifjxO94V/m+DSx2RJv2ppMnDnKiOzRw3zr6+i4UoYpko07PW0etOkwsEdYSMWn
IP0cQKuek/Ar7CNELOIIffvRqNeFoXxvMxld1yTpjrAQ1xBZi8JZLTcrL/PmmLoYSIFkgE/TBtQl
niuhFX7rXHSVlZbA3aZgt2IcOpDyMWxcGgfnAgz4rVGCUyw6DQ4A2fMQ0S7zavwHgs+40N8ktKnP
LYHIROa0mzQCpSmTTx4lADddHUvFyHEu7QhRaIroLZDZZuGpUneTFs4KOv5xmPfDQu7TuVT1V8DT
z/ssj9dk82etIK7rxdKQK0xkDEz5rPLar+ghlEN2WhkWHjK1toxwesaBpbof6HYhMeG1cwtl6KkW
uBhuFNfITUB5pg3g6OWkKstgDX3xq6L41rTru7NWWJfbo7d2+4LUssc0PQuUWR9hFhOXQohlvHI9
ZVgZksLSNEF7HAegSBPDO8Ng7sixcU3At3s+1tJDGMY0KgquLy8Llt2IQnnhWqRHbaQj4owXSYPx
UxMDyPFSmsjA7GOamxNAhVd059A6eVDt7LvF45pB6GgXWGz4SrXxQcmiqALKVbdqQJqakOQNFRpo
4IbjlplmrKMIMFQrO3OuqP2QK06U06IP+7lcKPk8QL1pprKHl0j03egjkqJR68xsybjF09Y5KloI
SBYdOLNwz+SKET1uiws3iI+rrL7o3GxWx/Iy7qBJA4FBHC34DE9FX6Y9rAa3YkzuxMViDKzToRju
6Oct9LT9qiOntk609gqyCHq6Y7flnft5r8Xb1iqUc6RwGMUqw0XYY8XhRv6pA5bopNXKb0rpWpO6
VFS6Wan51ZcSa15Y4IPmQ1rhHDQujAgrD9o++ZnXStZR7mXVZV9laoI4jldjRpEzSqaOfrBzuztq
DQ0/e2tRoscm8DiDoSGN45ZfHB0YJkSolR7lvAUdQzqTq7IbSFMNlthGklRK/PFWyzOU/VX69lpu
XduFeVwrwzb2i2jGlXgVu753bI7tfEzaM9Wny+3g/R6ZVCFp5T+EY+7QArYemAHCqbYBFBstFtWZ
Ul3WRcYSl6cQcu0ZCWOOFHaJig497SKiNkULkR1ugzjvB36jxyk07bxhESru9zh3L+JyaKDe1DIt
zAZrxYZxKczX4wIJufkom8XKa5AMhgaLiPRRF6rgqVz1S5jTcDPNukZ+QpJP4fEaW1l2o5tM1vNV
3NokqErsk4Q8BuV/biedFOI3t5O/qerNjpuJ3/rpZtKE1QXzU0N2LAiZf/e3hFoKWCSkuWQolnSq
XuZtuvIJdS4uJXE9yU/+GM83E0IqYKsRvcBzWNb/dOBmvEcl6EAxxTVHvqSi58j1+CpnEm+OLkWM
K7CF/4NOn1mB8U3DBYfUQjpHjIMgS0YcxWpPnMaWc/BykJaMJNre3mZwyfGaudEFuTxVQFQMgnBe
eURuW1vZcbMwYaQnvbLCvWCe4NbLFDuZobHypTKQeRBkdo3qooLd7lvh6VA3W4hy844RDqRwylj4
8EWv35s0qzzESFBRgjOKiVCzCmHRl45zXFG7Z8wqRhXrUa30J0g9npgAQCx4+J0g5A+lHgBKUTcx
gCiafXfMxoyF5boNjSgI/aUSe1OHMd5EN6sj5n3twob/XwsdAC2cR3547QqBAGDo3bzNe8w9dDqC
qAjAjJRXCR/uWLMYMo5CbEBKkR0gvp07WvygCkGCQWV6H3iRRsvGvSnjjGPe9DNZCBmkVXgaCWmD
wFOjedrmMaLhFhiYPhuIfPYcrdojX4gjeKgk1EYpHSXoJuB0cekLIYUUMUpAowxQjPrUQWuhQHNB
rfvLoA+keSOKdPJiOuD2d0UINeDaftn7aTLR0XAI0XIYqpy4JOQdGoTypwOKDyPKD6huzDohBQGC
nfINdQgdfH6IWkRVoYYeojs4U4WUhF+ZYE9Rl2hQmfBDPr8nhCdGIUFh5voKexGcloU8RYJHRIZe
hYQXRufh4BtUOCYKOQsZXYtABpo0CKmLLPXv0Jy46ksMkDMbGY5Ra5aeEMgohFRGPTjQV4R8Bs5H
zgw3CH2ZZM15ltnUyS5/d0Q3IqUvJjI6HAp6HAgonJSBE6xR6aD5JUQ7dBW5FkcIeSBjBucQbQ9X
y1ATd04KIK6kLMwGPHRA5DD7UoQFpgIxfa0mKGc9FlGm0AzpWjIHBRmRQpEvVGRFcqPDt05xj0sE
R6o0v22kdplVKWj3bAE1yWEgEiArV7XOXDc70MlCwcSW2ztK723VMqZG4gR+30BnANWT1ERgfuBb
IYeSCV0UmLbXNkIp6LQX41ndnrpIqAyys/aQVFGQVlGRWKE/cS41dKdaxFdUkTo2TTlthC6LCkNz
YpLfsEHRsjclJBgKbKkzoeiSJohXIjeY0ClpzFkit9/9qI9mfaJZc1WowmjIw/SMZ6DmMsXtm3Um
FVjvCS0ZhIHXvlCXGR+FZlTU+yd26vRLulKkq0KRJrN8mLhCpaakB+YJ3ZpMKNgkrf7QGDQ+GsRt
Mq29A3Z9D/UqnGdC/8bTuouhCYW8uslcqzbrOeEIwRz6Imp5rHpxfUzsIW2zc6bXfcGoM03qtZEm
oQmNOjeNW5yabXvpw+hdNjozT68rUmXSW305okOEf/jcTiUdRbxW1ewVmIcBVrSGityZlCZDc+3I
iVJfd04pacdN32DGYkBluitHXW3PozpfZR7JXx4O8TzTI30RoIY6KeRxo5TeVQWfbFpH/ZGup82i
lEpmzZJ5bFg95DKGIpMmNu+LLKtozZoQLkL9LpJMe+q39GgVeTSPtIzNHKUIffDPcYQxsq+5q29g
eKmz2gYDp43Fd0a+LdITGf5haUePUca6tqyh2Q5Rfzrk1awPnHAR5dKpnpaXktscJ3b2tQ062DIa
yTPzuEqhJ+7lRjyttP6IxpIh44/nWPkmiPA/FRzAWjXwyQV5S5bbXctqeOZWzokUDl9iX/0+KjJP
8YzvUZsw8Atm0nikDj0GYgbNXq+8inpCj+xjK9jPeng/vnUqYyswc/psg+nJ2od7Mu2l3kRRaER/
R03OTEsYFxoOlYgkXTJIUmedZYxgyJvTEc8cx8CfgFXIV1ZaYNdNL3ip6S2xHSFEywms+YgRK51t
6aaOZqPhfVZLeHO2HrpgOKip7MjpeHOmo8IBThsdxtVIWc408BrTzsZDKelzuP1Zd5LbQm3XZl7t
KdZ50KWnTQz5vscM3KG/XiUVuVm9MZ0OS5w2uh6ofMggqc5cxDum0JNu3aapZk2HhxOyqqEU8Rmb
8a4pHH/BqcO5pUbZDs4DTk5Zva0c55YAvZAx0okSv0ZAV1tpYXZL420pBVY/xcJ7TT130YIycIzs
W8BFR/tdPtNl2tcG5w6XRhe4jFJODblce0L8bKg7bwLvE0WFKFo7WD0xE0mnoa0Wy8oIummgV+dR
0FyQiSxStf6rTRisRwh2obzMBmz0fh7JmB4jNIoqGH4RSwnnkim6ZdnMjNplKknK0lRRHKlZ0Gnl
x+dyjneFbdVHTUopWJjOkVX1tzG0OGYoXIKELCjuiM4g63scI3E5xZIG+AUn7dhTVNQvcTKSKvA9
dSon61GNNXTGXDTKtMLFOkpb63pw4TfhX5Kc0XJLbVzmApcAZ3SrMVE5EoZ9oZbtCJyCCbiZ9fcA
YD9rRoFIo3U/6tp9b8qLvDLvssi7Q97QnNUI/rpJfidn9krTy+vOVo+1UGIUMERTOfaP1bLboMa0
bCx160TjkdcEl6NiMT+v5etUF0EcMy5ivT/9J+0GZkY2TP/kN2k3DMVgyJodiTe/91PiDcyeZiyY
tmfx2x8tIe0TrADmxiDwsS0QfZ/nwbKufmLaTD5OvkYrCZLPj5YQibfjqIBscISTgdBBiH7TAvpd
Swil3bctIZ0+lYUWoYq7AR/lTeKtuA1DhdLMLvpS5oC1eocNjd4yrupWvkUkQqShBx7Ryed8CflY
jhOSSvwyojUau9ldkLjVKW0vtJM0rbgOCRwro2+qsy5y84e8Zg5gxW1w4scWtEL6HTjLOlJHE4kk
8KIqk/q8CEP9iySb9UJxVQMDbVdBTTp107MI0M2DjTL30MeoaClM8lSEXZYjAoS3tT0YX+KW3k2n
Gs1pXfkWaLgUMozVSNFCMZC21Rq5nvhapW4zo4nvDOQLV54BnAxl6WrTInE892U7QC3FwXQlxGSB
qW5+2VFgx5BEF17g5bMWUinUUynV2/sMhId+rKTuOPQIpUfNkglgI211zwn9MwiPTUEKW6XlueWT
Llqe0vvXfugQ5bumQneUIGR1Z7ZDJw43WJ0G0gJ6pG0BSm7zjsECWQR68BJGWpOgiYdvYasWkLah
cDuF238xO6HVLllGxpzaTBeebxpHQwPaqu6ycQNonQwfmS/52OtQ2w48xVm6eet9YycFUzkdx41b
+ePWDPq7UioWqRccSRY9nEQhp+kM2KJS3nm0J5RmWEbMwwh59XASZT3wptqJ6LclGbPWoPOCRZXU
aBMWbUJiHRWfdQS+1rGj3GoE6FUu0WNHR6edGIC9MMCtzGvbz5N1LdXOLXx786x3CnmGUgWOgWpt
ZDduJYNQaWPnm2R10hG6OtYk75NzrBikWVm34H0k+nnzLi6Keta7ARg+KavWiOunV1S/gN3IUr56
xL3Z6FjhbU9ad2KFenhakSAiFYfWbTeKQVg0Zl/GppeO2bzgkiycN0KvdO/sMeluUyx15k3WB9dI
neQXfoslaQrfMJ6lut5WzILwikcYxK8pGI1q5oG6hNsHTA9XCcKv2YIehCncd9olXVbbY5JvKts8
y8dFEYCnc4jtEzBIxj8tkCd/GYPA9OtYfNPEm3L7PhKL33qJxLBFGSoB4cGtQRHGnX+3QED/GPQx
bDoEQufip0iMnAU0KQQwZMEzeuqOvDTnQf/Q4odPAUAYp1CC9B9EYtV+zRog1iOygWYVn4F4D6SI
S+TnFgiwGblAiL85w2ga1T1GsGwqfxJFnAG5BeJRxqKohOOduadBiXyFoXTVtEzbi6TK1hbd/UlF
+MA+sphVUnBMAnI6WMwoMzW4luXooSURB57WgtiUOixsO/U0G8WIWDa9aVKJsYD8GRHAr2ql32ET
hmyT7yDwKSB5jjQuYl2SgIv4oBOBCloY2U6CPPzLsNOv+ZDdtj7Qk6zGfso1zb9KjFRS5gq1I312
U0ArTNs0LThtI/+kzoKvVWYn0BatC6obrLY9e57wxeg3B+aSMeZRo2RfsKMaYGRqNHFqspwi7ph9
dreDmpdzvHEWuj7WMzXE7VjvUP3EK/Gh8IEz2rF5UtXxTZeO0dRG1sCI7KsscB6KyrkIcDEH5whk
U/bCeu52hOO8xX0ivXfr7ItbQHPI0ntudWfK1ejNG8wBVxXOntxGq8CvJnrofY1V0AV5bOezDt/1
SZdn953ikDtC508GfBlzBH9mAxz6BeJk5ZSr/KSu8KXQ3ZMUB7AxyMvFkHULueyOPMdZCdAB7P3v
mF5vIcTcaOB0wODeJd4IRlLcGfyRHLk0Jl2Hyokqh8VE7Qvz0myrU9/pv6P7hM0elhCZ7MrTpoQL
AkLys+4ZV3qN4okdRDe6p35vVLNdD4H4daNpFlBi7xIJ0E3m5xPTMFGkAkKBInC4NM34S4at0QI+
Fp1nQwZkacXTggn5RMbjAse0hWzhwkgIXRa1n028CEhFk/NXQ+q+m6qGCWCVlkoBssVEbWXpVvlx
4CbF0ZhECK0hcDQxuvHKio1ll6KGVejFVB/x/cRjHPBV3XMR4S84Q/qRnjt3wtQe2cRDxd8wUXNv
3pXjNXAw3jW1gUK0C1durkdbOwo6ulyWinxwVbjezIsZhwCmua+z/s5GNmdimfk3WclKdPPdadn1
/aSTgxVGE4ycJH8l45E+k6woncpytjQHeanIEIaAlDkr1NIG1CLsbRIWJ5RlLRDiMJ+XTr02vWGY
qQ3TLi/pb7PCOEJwgHqspn9goutVoZg8lUvFnOhjPl4kvake6ylukj0zcW8dq46vzaKo+6zaUdmC
jav84C+Wwa3P1dryurkZGNrCdBM5vbEghGQzABujhhpIXPlTON3WBWqQgYmnHagCrei9L0GTz6uY
LTTRfd09y6uKJhPCoXbXU4h4pHnIjfqFLABWRn8J4g3/9yJARN7CFAQoSTzOUAmuijXgZeBSRQAU
YMp4McbUetCAccSXWWb2xVIONfUu6lD5PY3TXCDDY5+Rl2ndyx5aIyjoDWUyTpj6OMLEWzcKjAxV
y7uRayuuvqhu61EJayPKZoWcmO5X8Fx4Z8qIkEgITve4U/5TujyWLmL0++vr8gsV/Y7L8nXZwoUH
EFYBeepQnP99WapYL6H8RHlkmQgvqFyxL3hYG/KyocO+UWxNQQEdSMLLZQl1R4FKA8aU0kXl0vyz
y/I1xoKZOONrE7c3SieL8fjbeUFdkqLHatifU2FIE5ohTKDKm1pN/GkoPAdGJc1uAsQfOTVJcl0J
bwJJVuDoji60VND9HpZL9aTQtTMN/s+c80l/ygq3Gliuaa3ifeAX7Ten6fAtGPBFiIRDgoMb6xSM
ijV1Gje70TFSKGX2eY21QgsR/zzxCkwphe+C4lnpssGWbu61uDJUinKbCJ+GOKaFHDraEpLHWsPK
wSvwdOiFu4MpfB5i4fjA3fOViqhbOaj9oFQS3BbCH8IXThG18IzAf7aHfBGr54GCDRyeus6Kxh1F
UqeSWCZQi7sctzP0TJwVCkHYLXgYU6FIQHkX0gpokpMGDfTIkb50jPBhM2AKlxnYm/r5kdzoqDF5
8lz12qOolIC+2X+xmqdZhq66XGdI+KArjBCd/9Vo9U1vOohkdtlnr4g+izbJHNIC4llecF3rOC9p
sWROtFTBSsXzVtEIhkkyk63mYZ/Xp+aRWSJ/V49IyyPTEC5qJOgWvgtPMjXGL/yhge+a+XUmuWc6
FZGNZbAGeI9voj24Q3VBg7w9oa3KAL/GZKTo7DNaPcAX3PHMyPiT1nk/Q08IIW/tm6qVCDNG95Kb
o9bt+0dR3J+bHfQDZH/riYI+Dmg2dW2ozD5irEGYEDjnzMjqqZroK7MyT7I+seeZpbkTQ/G/5N54
qes6EwmEe6R+lEA8wAVjf/RT0y4i+1wbCIzfQMUaw9oiCZhD1DiWwO+iZk1bdgYat5qghLWVqmgB
xYCRvjQsHuU9XCc0Tsn+jqBTl0xW0JlXE+UE+TW4OqIr68qKP/MMO1gORgTcEVoYI3H1qkQ2bdra
ZToFK3FfqJguIe4xwIoZmjlGggsSQi7uaGSRg8pdS0NVYMcZwQ3jgE9ldioyW1dxmvbsbH3d29A4
BPr6JvVdWFe6vlKylFGcEXaoMJsJnpodBiFyOtEGdzsM6irAQWcdGcZNWbsIeKT11Iq0qWU5Z3pl
xHitGibkpkaeWLG5luxSP7dqIMDIV9VTPEPAEJf6dRtl2dStjROECKGPAymYypJxVFKeHylDdlzo
sbIuMqyRGc0zhrmrFPdc6rwFVV6/IC1kfFgGWJYl5bIakF9GYnlmF/E3PzYWdpZz1DkmeY67l5ok
X3Psvnrh+xVJlj2LhReY3+EK5gp/MPSJvSNsoUHk2u5ZW0jYzDjmXB0cqCT4/5ASAP92GcsNStVN
BkAWR8Uw2pNGeJPJRY11aZXpy8FzcS6T8DDLi/TY83E1G4S/GfOrEVitIi31DPezrMgvTQnp6RFj
NEn27nIp0S7UEN8Yoh/Tq0B3pj6GahIJsCcc1kys1gor9L5XmK85Psf40sKQbQyFNRv1K/r0/9yf
T/cnF85v7s/m2455O0pCP4pNkGBcn3TUkPlAIUgM1X+0/VBV1EwZcquGUM8rJJjDT7hsKTd/6DD/
fX9yETPC50ePkot/dH/CXXnb9kMRzKJmpbQVjk9oibwqNuMa9l2f9fJ5HWZ3jDqNpRlp0rEqNRgB
45B0aRDOV4CDnLM+cqtFBnZpWlf6UZkZjBtTpkDsPuOkxA6CAW4kxOrMZds117Hd56flKKGpittG
bd8rLYp+uJjCNIPoOJrd2nHtRWDl8iynxmmEBEPqCEeHDmurtFzpgZ/eFJ4HBzLP75G7Oc6a/LZU
9HyKDGwwMb3iPh6wOc0qHTuCrlv1ed8DrM789BKmzlIJdf1C0sxjl+HovO5kd5p0kgtQpUQuP8bv
2a03VuPdu4kNuHkAzOINebFmSohkRiZd1Yj/XTiAhLA1QZ401qi6XITZZi6U1CnC/bTY3AH3CB0i
hKM9VIGJOzJyxXUAyseP7gJVu6kzJ59JobrNMQZCjcO7LakKAk59w7RzQjKwcgvngTicTkLfX0UO
43yZRhVg7yT1jsPRuVEAb4Hgh2NQqvJNboUqxh76Ue3n9TR23XRK12wzNBVOUlZ1R4sRQHQu+KYU
Xp0uXyCWr8x8N7gMHCChUtIBWBoGgNZQ0L7LJTe9KaSJg+N2yLy1FlZXTGtR3TdkOsBlUk0tM56E
uIBwOcb4r9L9Q0+IHmeKiQ4aFWhGRSDD0AgM0so+d9R8WMapjQusCeUFKN6pV5VbtWjxfR8t71Jq
Ihl0uXHvMJM6Kwb1e4wxIPrvJo6Ifqg6Zxh+eVPGMgjcRtAqaiOJFinFxJEHs9hPSoqn2D7vpAzM
hknb0Buy74zdMVtX6BmU6hk9thQmBwoadQAwT2myFByGtAz7VoeM0Xw1c/+vKIoa4J64hah+Cgsb
BH2FMhZRHL8Vuxr/soIBKEH2LQGkhW6ufqSn0qVi5991f5g3PlYmRW9P08gspzKc6bUZF+vcTI76
2pjrnnY+KNE5lXUP74ihtpyFn+XOvTUS1ADRvc+mvmTdlrVn8LHVEzdXyTnsBmpDkQguonyVDPWR
zOVVROFVEODN1sRfOrn8hjtVBq0F1MtQtWd2GTWzUozvMzk9NWwW19ClIwxj9KUpuwmyV0M0S6GS
g9W7t9VRm1X18DnXVPr6Ss6Aicoxq8diNvTtOnJHmRGdfNbF3TeftZ6bWu7iVhEUtJDyOy3NTx0y
YdPOFiFN9YkNR7eWoYeUNJGkuCumOD1meFk2x/0QFTA/Y1TVB+Oh7ozTrgC4k9jhSeGW6jTIEzwo
VXUZ+tVXOyyOSapvlWj8S5GqSz4fyZtAVnYODPMUhq3azLyx7TBRi07tglodN7mrytG+DrWTn9NH
j6coefVHUjRI6yyBDJsydGgjYJp05/08urLN1JjmuKHZqIC51dq1eMpY+sYqwVK8dKEAhxrO50mi
XoYyPuw2AxN6HRWeoZkVoY3KJh7suJ1iNY/tEGktMPp45voxrhceWungeaAYy/eAksL/b+rUZ/Dd
Tj2JH5Mm8dOLLEjrm+yd6MS/9Y9eGqe7H/RHAhXCvODVzf34wR4lMn77nHhTB3XzgASGRqPY4hY2
uKMfX1zeccYg5OnHkkIFTPuYq9vhJ7zXT2v0q1X4/Rd8r93x/jm//vA/V/IGHez/xffnC/789Sni
CZ7MJh9fNMpffX265aAqVIs29dP6HMIiiEb/oxjKi8OFoGH8L1aC57xaCuwmgESSlj2+aGi8Wgp2
ggoDwxJj0//7jfBuDWjhkPjteRpsITtHjmiIFeX19jSwHSxehmFBpjnIRdD3XwSdnhejeItD8fR6
sxHEmYBArUP4efn5QS6F0Ejdez8AJFYVoQr/+BIn5lV0lD9R9iD5pz/VUP/H0XHXoSCi7b0IQjsW
8Vn2/NtvbwGwRVPxKXo+vdXhrYHydFj/Vov682vS/ARUm+inc+c8vt4shTgT/ExRFcLmYZ6Gp7C9
zyIwOVbY6jS7n9bgbXQUlDBuU4VVONRF2H8nOJ9UceC5I34REgSeySY0PiOqDvA4vO33/PFxAJil
c0cKAZGnF5H2bWQw+bFw0zrUnfCUzu5zHIBLAIUwmBj8MiZYKJkYtvI0oDq8nSBwF3tfDoBNHUB9
iD6I17uYoAp7NNuwlKcFP7xFEIDDPRfB+qRxRXIPshI7F0H5BBFWgcJ8sDth/5igfLKYglqq2A7i
9a5+0Imc+OeYYop6mFfkU7DaJybYn7AWMpl0Pq2BKMveBkYOCl3tR9VgFI4OdCnU/ZeCi9KE3qYx
PX98vbsjGBsgPEkycbC58/5FNSkT8AEFoYe3G4G4yHDB0p7BfocXF5W9K0nSBDER0vX33x6jC2Em
Qbvh6aAc6DFQ9r8bVHTToI+Cmtx9DBTjE8L0ZBGUWOJ1qBHhHSj1j7NG8KUaarbkjL9utqlYrZEv
PVXuB3gm9i+ikLmQVYKC9VxEvb0hFJvA4Jgm63Cgh+IdQ/uPdwKBgQ4a8hzar/oqKIiAXwaDfKh3
g7J/c8n4pFmP1fTTwRcn/1WuQE9B5NZM1A+1iHoubPZJmPiOhEZMF5nbixcH7NUi0HUGd67Alz/Y
nbB/qqR/QjQEjutLd+ltEUVMUAEA6hYLJV6Hekc813j77AfMNoUmFoCzx2/67lAgpi6bFJTMYw40
PKp7500M5fiCLAFKEI+vHZHBMVE1UoVZqXgd6lI8bdR99oPzSREXpYV+/s6lUDWqSnzPgBgd6iLs
32QxP5mWCYoJ37fH145SCrYCF+rBzuaea/59dgJNFhmpMfRZHrf8+04TTUkU2YmR+stOOcgug7p3
5oBWje48kqeeB3DvikvyKwi4ONAdaiKt7t+I505kDvtjO7zrN5E+qSp61cTIQ40MTynNPoeCRXAY
SzFx+UVkEMZsDiMb+1CbbgIuumf7FW65aKlBOt8dGYR3JjJM0B0PNXFSn7bofjuBrS6W4bm43nFH
UHPShVCfFulQD4Wxf2Sg0YxEPRZRv5hJiMjgsBKmfKglttAM2/NQOJ8cZPLpRD9Pp0iPXhdWiCuw
WdBiONSZhGAt77kIGjRoGVXa5wr7XTVBZNAEAh1tiQO9I7T9O042zRZgTRg0PJ38dztBpBPiPzQj
xOtQg6QQF95zPwiNWRjxFJg/guDrQ8FSyPDdlIPF8wi76D0Xgd470RGGxXPL5e1NwaFQSRm4TQ71
TOxfUdGVR83AoDP/Jizy5RHjxhPkZYsc6hrsnztaTGdkODvkyE+vN0vxSH6VFcPWDnYj7N96A//M
PtBRFv9FAq1wGMB9Oc5TQ+pgg+P+abRB2qSajGTZFeLFV30dHAE7cpEC7zrY/fD0wfZJox9bbxDF
Xo7/u8uSggqra67LQ90J7+Td/3g8w6AOUgD6LMpzf+FtkCQyAAdlmxzs6N7YO4FmRsVIFmcDBMh+
FR4BQ5IpiInm03HhYj68maXw99ozYwDFAImTYf1TgiiA1W8jAz8EM46C/0Evxd6JA603QH90U15Y
EkSc10uhwmtloM+Q4kAzh+fUdp8gKVpvdBpER/rl7/12EWQdd2bUsg91EfbPHOxPGLiYdN9+1ZR/
zDGhHQvc/GFGhv1zBgvYO+bFhvmr8a3ghovZJSIoB7oI++cMzKg0VYUm8nxTvLsuYcGLA3O4SDfj
KZnZIyYIrBdABXLp55xhR+Ik+tCQhg41cXpGHe2xCIJNaVM785f+RWCUwbWoCtYEh3o7vBNT+vPs
ERKdBbqJP/bbu5HL0wLEAPTvQIOBkLXYO1eCKwqcj7nT4+sdoEVYvuP/wLT231+EfyOr/ME9xpI7
fnikJiNe/8gFfqLc/j//wQtv9/0DfqKbPpJuX/3LmyHfPj37iZQq/vd/bR7wLJoFVV0G97X6mBX/
9NOXLPnxnZ5///krvn/zV2/28r1e/s9VsC035T1CBI+E2OcPKrx9//M//jvmvx42u8myf3+a//yP
1x/2px3w+6fnQbp9+3CR/778f+KL/W8fnmwesvLlQS80Xx7Owdn7k+OhWe/64OzUvZ893cSblj9J
9fKsnz47+33/52dxU737k7Iw5Fgf8PC0LvE+y3ZazIhwtvdbzLbxv87wit21/sSevZ8/j/81y0o2
z8uzflp/buS9n78ot1W66+HkPHs/fBlv0/TlOT99cDK0vZ+9apJvWfxQvzzq78cLnPvej18n+bYM
NvHLo356/Ecc2XU67Fh05SNO7PG23LHmAjiy96IcB6m3IxAIOu7ezz7ZRDvOkACkfsCjq2q7a00+
4oCeZNW//jv1tvF218p8xBE93TwQgF/W4aeN+BFH9HRTBruW5iOOqHh2nu2K7gJSufef9XSbPmT3
wa7oJfjKH/D88n778PKgv9ddQN/2f3jGZ395zk/P/ohjeprtXJOPOKU8ut6W22HHJ/+Ik3q2yXds
dMEZ2HvBz7bt5n3uiAPMRxzR83JDCHj5lD/9OT/iiF7Em/vtjtxRTG32XpaLuEl2JXcCsLL3w68C
UscqeNixMgILsvfzrzf3JSVBWu+4SwXO4gPeIP3XZIug9q43+Iijer0Rb1Cmm/JhZyAT6IAP+Raz
YOvt+hIfcWrFl1hwAu6D6n7Xe3zE8RXvcZRtimbXbaV9xBkW73DSBNW/zr8FVb7re3zEYRbvcrqp
t7ue/xHnmefj9jzZlN82u3IGoSb0EftJOErjWrEjWIsx6ke9w689qx+bA3vU49e/sx3d++H0MHYu
zYcc5t87N+392bN4syt7EIOf/f+sJCbJrj3zIee33iD2HG+aHXm4/iFHV7RZdtzD+kec25utv9m1
NGLuvfe635DjB/WOpE2MCfZ/+u/8a/bdjzcNDaJkV19OdPf3/ux/8YRm11kVqOW9n/4bq4J91+XL
r1Wcf//oXW3ZHyiH983aF3XHXb/2uhct/sV9vN2U//U/AAAA//8=</cx:binary>
              </cx:geoCache>
            </cx:geography>
          </cx:layoutPr>
          <cx:valueColors>
            <cx:minColor>
              <a:schemeClr val="accent5">
                <a:lumMod val="60000"/>
                <a:lumOff val="40000"/>
              </a:schemeClr>
            </cx:minColor>
            <cx:maxColor>
              <a:schemeClr val="accent5">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E838CE8-A00F-4CC5-ABB5-C4CE80E1ED8C}">
          <cx:tx>
            <cx:txData>
              <cx:f>_xlchart.v5.2</cx:f>
              <cx:v>Amount</cx:v>
            </cx:txData>
          </cx:tx>
          <cx:spPr>
            <a:ln>
              <a:solidFill>
                <a:schemeClr val="accent1">
                  <a:shade val="50000"/>
                </a:schemeClr>
              </a:solidFill>
            </a:ln>
          </cx:spPr>
          <cx:dataId val="0"/>
          <cx:layoutPr>
            <cx:geography cultureLanguage="en-US" cultureRegion="US" attribution="Powered by Bing">
              <cx:geoCache provider="{E9337A44-BEBE-4D9F-B70C-5C5E7DAFC167}">
                <cx:binary>7H1pc9s4tvZfSeXzpRoLSQBT01PVJCVZ3hNn6eQLS7EVEtxJcP/176EsJxZlZ9RqTb13VFfuVJdN
HuiQD3B2HPzzvv3HfbRaFm/aOErUP+7b39/6ZZn947ff1L2/ipdqEsv7IlXp93Jyn8a/pd+/y/vV
bw/FspGJ9xtBWP/t3l8W5ap9+69/wmjeKr1M75elTJN31aro3q9UFZXqF9devPRm+RDLxJGqLOR9
iX9/ay8j+T0tErl8u32N/P72j3j5kBZv3rx9s0pKWXYfumz1+9utEcjbN7+Nv2iHqTcR8F1WD0BM
+YTqzESE62/fRGnibf6uYYImjBEiKBJo+OCnb71exkC44cVOq6Tsni69yNCaneXDQ7FSCh5p/f8d
+q2HgLfwx6tP//SN98M3D+/dAwh+f/sxkeXq4c1duSxX6u0bqdL1jUVnp8Nzfrxbv5jftpH71z9H
f4BXNfrLM3DH7/XfXdrG799g+yWN0mMjazKmCx0ZY2QxIKszjM0Rpmsent7vL6bYy4huUe+B59b9
J4bmhypaFqvj4mlOKEWwLDfrcViQWwsWiwkRnHNs0Kf1+LhUN8wcDOyIfg9oRxQnBu4fEUjAh+Vx
0WUTjnROuEnF+sNG6BIyIYyAqAYJ/7g0N3J4w8zB6D49zdMAe8A7Jjk5fDOZHHnx8okpqGFiQ3+E
l4/ghcXL4GMYDPTwNr5rZp7Q+ctS+Y9oi34vdLcoTgzcuzRJ4yOvXT7RqTAFI2xtKSGQv1uSGdYu
w4ap64OR9RzcDTMHgzui3wPcEcWJgWtVZXnkhSsmBiYUjKhXFi7BE8PQTYzJyJh65OVgaLfJ90B2
m+DEgHVW0ZvrFLyvoypdHQxhQwcvB/NXlK4+IUinoHRHWvcnPwcDvDvEHiDvEp0Y0HYaVerI4hns
YiQIBeX7KJ4By7F4RohTU+jgKT0XzxtmDoZ4RL8HviOKEwP3epkdGVoOLg9YxSB8X9W8hA8uMB8t
4DUrBwO7Rb0HrFv3nxioV8uHVXFkWM2JMAk1CNus2LGrC7EpZFIwp7DYXrEbZg4GdkS/B7QjihMD
104hxrZ8Y6eqPDLEfIIGrUspe9khApsZA8IGw+AqbQvlZywdDPTWgz2NsgfcL9KdGOh3y+TNebrM
K5kc1dyibCIMMLiIDkGs4bPjJ2EQ50QHS/tx3Y8s6ud8PUH2l/3hlwbZA/eXyE4M9ptimXjHNbAp
nTCBdc7NV7wnDGEvAzIM5ji9sGHmYJhH9HsgPKI4MXAhrbSsQU+r465oPsGgqTFhm8jHjmmNJiYf
jG/dHEnxH/wcDPHPR3oaYg+Ud4n+C4D+NYtbTz1kmf54etUvpOP+anqQTQhEN0yBH5OALyUdTAyB
Lwym2Prz9N2P0enn2cxXRfVjQnUnQ/icdusZHx/x1y/lvy7/dwWW1qpYdcddn+bEZJAFpOi1yCSe
mBCYNOk4rfCDnae19Sp65BX4dkZ4AcOtP0GCe4fmxECeRm+ctIAk/nFR5hNGhGmQTepIgFO0HeCA
VL4Y9LBhru2ukV31k6uDwd4dYgvalxP6u0QnBvcMSh6SI2NtThjFpmHgjbwdYz0kkrgBP3gUzNow
czDEI/o98B1RnBi482iVHNk/glwDQQYWBIyl7QUMzrDgmEFIZFu/PjJxMKbb5HtAuk1wYojeDdmj
I5dXCYhiEAIW8ma5jvO+kD4yiYHB5x0ZyBtmDoZ2RL8HtiOKEwP3rIq/pdFDeVTNq4Ni5Sagt7ti
9QmUV1EEFR0v2cU/uDkY350R9kB4h+bEMP4ERmp17Fg0pAA5ZIfQa4HKddkVxchEo0DlEzcHQzwe
YA+ExyQnBvCdXBXHxheUrokorFN9bRvvBiXRBC4ibvKXg5KPLB0M8uaRnuj3wHhEcWIQL+JsVchl
dFQ5TaEARxBu6LBO159x5BkbMAsMsKqhFHr4jDykH0w9wfSXveGdEfYAeofmxKC+XCq1Oq4JDQpZ
hxo7LjYZhpdWswmXdW5CgeUjio+Rqg0zBwM8ot8D3hHFiYG7SLqje74cEXCQoKb9yaTacpLwEIwW
pgkl0NvQrlk5GNgt6j1g3br/xEC9WBXHXa/UmFC2rq57lLsvxZeHPDE4UaP1umblYFC3qPcAdev+
UwMVNjgdOS0EWxUgJQSZXOOVpSomJlwDr3iM6pqXw2HdIt8H1y2CEwP2chkeOZ0rJlANiRmCTWHr
z066j0wENrDJ2SiasWblYFi3qPdAdev+UwM1VW/+gDx9tDrymtUnyCCE8qc1O45UgXolOoXNgoD/
8BmZyJfP+Doc6BcG2QfvF8hODParZfEfqMZhOtTjoE3aaAw4VGAZFIOhLEb21CMvB4O8Tb4HvNsE
Jwhslh675JlNoDgSyif5xg+CxbptKwuosNQZhx0rT7b0c2doeONrpv4WyFsj7InzFs2pQb1KHtJ7
eeyMIKQYBo+IsU1sY4w1oVD/zkxKxcjYuvrBz+Ew7wyxD847RCcG9FAseAX70I/sAK8XNWOwj/Bx
zQKcW4t62CJKOEwGfaSbf/JzMNC7Q+wB9C7RyQF9X8Be4KQ8MtJ8YjDYL6pD6dz6s4M0ngDK8AOu
8wu22N3yB1t/A/CdMfZCfIfqxCC/WhX30GfiqD042IQiU5iQYniEe8cSg6gmxwIs7xfh3rB0MNQj
+j1gHlGcGsQpqOmjIgwbDXWBBEQ8zEeEdwo80ATq4mGPKR71brha83I4tFvk+yC7RXBiwA766LKS
6s3NN6myI8tsA/LExMSQWliL5J1IJuxZMiHICRuFR3uWxlwdDPZrA+0B+2ukJzYBoL70yKhDUAR6
NvyQ3IOJvWWTDdUBhHMBftZ2UmLNysFQb1Hvge/W/ScG6vWqXh67GwugZhIGVR+bDYjjfDGUbSFY
6iCwR4HODTMHAzui3wPaEcWJgTsIJguyTsvi4eiOM5RoQWEP5tBWaf0ZgwybkwjsHRZstHRHPB2M
9Svj7IH5K5Qnhv1ttLw/dj0mn4AsHkrhN/tZxpgPC5sNZSLk0VAbQb9h6WDIR/R7QD2iODmIK+i9
eFRbm0Jok5oMdkNsSm7HKhkMMTDSwBinowr522jNzN8Ad4t+L3C3KE4M3PcSdhwq+XDkJCSdCI4M
SjcVAzuGNohtCvsRIbc8Wrw/+TkY4t0h9kB5l+jEgH5UR9CA88jGtQmbg6E4HjpB/BDGW8Y1CGsd
EQQF2CMr7BlDB0P9whh7YP0C1QmC7ciVd2Ss1y3SmAFVmmMPikElPeVgpm1mwbYfNbzwR3b+FtLb
Q+wJ9DbRCeI8g5YA91Ldp0/v/IUdxVAD8tc6DjPYM4EQgzK9V1Y1mUCDCGxwOpLfA9Q/OIKeJNVh
nYdfHmZPyHe///Rgh1Yv1rL4tjx2pb0+4DrUE7y+ddEUnOoYWnGtP0+z7rFCF3B7xtnfgf+FYfaD
/wXCk4Tfhu7FR+73A0YZ1A5B4dhrOQ48GXoXQ0hlZJU/wv7I0d8EfXuQvSHfJjtNwIuqP64XBi28
mI519JTxGKt1SFZD03lQBOMI2gbvgaG/C/fzMfZH+znVqYHtL4/dyAt2XEDPYjDQ6GstYMgErDfE
ITkykuePzBwO8jb9PgBvU5wauFKFskuro67joUUqBVuMPPUlB5ts2wcjExMaWxvQj28E7xM7hwM8
HmEfiMc0pwZyGi3/EzksiIgObWLWn50CMhDVuoDtjztu9iMzhwO8Tb8PvNsUpwZuuUykipbVkSOi
DHZbIGgeYb5Wtg9BbzQUd7NRpS+cpvLE0OEg746xD9C7VCcG9oeVvzxyI3rQxbCB1YQ6/lc8rKFC
EPwraFf+WBc8qhPcsHQw1CP6PWAeUZwaxFCzD8c0HVchQ8sJ2FwFdfsbJ3knvQF7cKDhMTjRY3Q3
3BwO72iAffAdkZwawBW0K4+PfVYItEnlkHiGnjCv6GMEFjXBmJORyfXhiZ3DIR6PsA/GY5oTA/lL
9e3IsZChYh9DswGoClp/drbRwZkSsIWOg1u1bVOvWTkY3C3qPYDduv//B6ivH8X240g7Z1kup+vD
8J6dxvbrq0/HuI1IN90AXo5wP26OWTz8/hY2WVDYMgVBqh9R72GgrV4CQ4R5nRt4Qm+bcAVO+O9v
NTh/bYIGz3ho+gXxcAzToFltLrGJIQwuKDcEHAk1JEUSOP7ChwP76MSA22F77bB1x0QCjpRRabW+
NGzYAitOCARbeww4cebHUYW3adR5afLjxWx+f5NU8W0qk1LBg1EYKXu8b+AXWILBYEMgmIUgimDX
33D9fvl+2DILt/+PDAJf+VFJr2CTWOzbRpiXXmlXphGexzJuMmLjumdFbekoI63jJ11/V6Wu4/mJ
d0mrgC1DP7Fpmdseyr8GLML4tsEq86yg7rLcUnUibuK07M89WkVykZcd+QC6TzMWWKFCs4TQypvY
pe552JmonJIwDPCdZCLSL3qvj9S9SDyzuSpoVhjvsjia12YSrdw6l06ayCqyK51XwRwFHM9EzmX9
vsy7cqFHRGlW3/thP3VRV33tdVaFFst9dEEq4V4UeR4IO0kaf+q3IreLvCinFerkhVF2+qXr9lll
BcIVYMonvrD03G36OYRJejtM/OrWJ8ay65KvLPTuA1OPp9DTILYz01hlZbwyRYpLq45z/aEppc1R
YpPcaxZJj4xZGWrV18b0TKsmSEq7CStsc9EEFhzpyD9jTWaOCBv3vpVmfaZoQha+5vqXWkjisxAX
7JrlVbvosyyf60ad2kXdl1YcJq1t8My3Wgh/WaJ2rwDczDFLbqtGuQ4v4wteidQ23IJddYbRL0I9
8i1JRGTpwp8zmcdW4ZHQoh0PoGF8lVgsCZ2MixXXfW3O6/4swuKGBtKcd25TWpqKQ8tzC91Sevun
7uuuEzZ9bTHTmKdYtHCiTWuXftFch7QtbeT7rS0io3UKsH6mgZaRG+SF4Z3WGPR9YprJKkB6cR7n
Mvkc1HphS5k/JF0dXDw/+3FrKdynWVdIz98c3Pnj1399SGP4b30Y5M8/Dud+/vxtvkqHxIQa3zRI
rR93/TxQcpASP06XHMmex8NDXxFMv7z4utR6LnsMSJ3+SmA9b7X7U9Q9Uv2QVlAuN+wORnAYjgEN
JmHAJ2lFILMzVEqCl8mhVfCw/WgjrXQIHeChPBYN/YHhnB0QZM+lFQwIyUAOwUPo8fCXpBV8x5aw
MgQ4NbDz3IQoBoUW8yCgnwursqdplldVe500VEzrxvUzK6UBC+2QNfU7UzO686Ctk3CKUFh+KVO9
/hjqqgUxJJL887O395LsBCN8zA0UDg5CWh9O9RtM8efc6EmXhcKv6muSJ/jaC/vEtSqWmr7d1mUq
rLrRqy+szjRpFTEHCZkHRehZbq+YDqudJQ+iLNENjOFXDoki/LE3NI7nnWm4K9xpuJ39mmMyFvbw
/nToFQydc6BHP7StQyOOJfMB2668pq3heY7Z9tHHGqJCdFayLjWsumtx4EjmcqtnZietLkR0HtdF
h52iTssHv1UK21LLDEfBqbm1VcY+gsVeGKE39dLAvw0rcR4r4SsH7CLxSfn5RRg1RjuVSjOvZOHX
8fzXT7ULA9TyIWj9BCc4QRHB+qGfaTDWaV6jZZG6TkpXfEo90MGWHhKYGllStbdNW4i7zMXRn7/+
2mGubSlODJsxOaPQ9xw2VxM6sPXsaw3UenqmvOQ64T2+xqFfXScKxBV3/U+//iZYPjvfJKAEhkFD
IzAn+WieZYne9Xnhp9c8Q/oyb9Iimrsl74gVZv4U5VXU2xR1PLUDajTxv5s0w6TYflCYKNCTR4f+
7tDtcPz1EFGUvpfEEnROaCzjoDKWYTTwYPSxmppFmlodAujnTZQ3xMrDlK3KSKhFI0CNtiYtkE2b
IA3tgCXxR1pkhDo+77pVptWZg7Q+ZrYhUr04M6jZV9av397QEnfMPxvEBiSc4WhNUMLbQCGzMhLD
cLUrXLnxUhal8iyshWWig5brEu+88WX4zeMiu2z73J+Zqd5Km+CafS9Z36d253vM1tOgXsmCsofa
yHx2/msmdWMH5LUdBhsChx7OsDrBKXg+ncyCS1T4YIcFep65gjul8Pt5W7ZUzMq6quyizdG7Ou6M
yvJ9n9kFTuaKFNk80sFIC6M8fp9FRtxaLGq8z00Qp4tOlaWVGXn20VQhd9w8ce0qDQJpyZIGjeUG
KrluMk3d5FpPp56HRWBpvZvENqn9+Mwwy+g9Cbxbr0toa0UVy69LN/9QklijjlkTeJGyIyAb9Krv
LdTw4DLyDf7FRZV+7pscX/ZeWwu7Qb4ew7FYnVxovOhiq+l47+DG0Jw+aO8zlZd3FdKYbzVxyWau
yquF7hLyIfdxE85dpmFpgSXnfoPcM9iiMsm1r1XMYifLFFmEaZItcC6iB1lnJqx7God3Urgts+pc
984Lt6jsDt7DHOtE3ORN3E71pshnGLe4nkZwPo1n143Hc7smvjuNFS2cKhM3vqt5yME4Lc9A1ZDG
TlBgWrxk0Z9tjPwLUojszqClMa9EoJGZMuN+yc20mCrUBv2sDrk309oWLYmKmu/KyzLD7kmJKivx
SO3N2jJIYXE0zbTz6orPitT1HbDG47MEbrVAnBcpvOi4ZlaggkCzmdswi6VG21t6GblgeGtJPC/M
cOrpVYfeNRTrcBB5gSIrgJlUzmjZCDVvKWsvzbDvI/dd1eRlHFudjLqkePBdn5D+i2q0lsW+JQoQ
5ek96eKgpAUYb1WVoesyLOOwPRcy7+e1qEp3ERdSZlZAovQOMY0ugo7Syq4AA9fqcgR2X+/HnDuJ
64I+LKOwyadm2HjILqISuzd+jkyWnoUda3ynayNRXpqqpDCjGjfFqrEr0IUzU/MD96aGpWN6ds4z
DhOOhiqeJZEshBXloLzcaVtL09ZcqEgxrM5FiQ6GqxvHti+qxp01EYviqXLBKpgZiRf3Nu8NkJgJ
CfXKjv1Ci6xadZ66VVKL42nqSf5dq2omkYNSUs4luBf82tBczz1PKCuZEdhJq/K+O1OQMCv8aeb5
LJ66qu7zmShUImddZMbdGVIqzmyDdJG0WWt00byQudRsgJV81rK4xw5UwIaxA/+QdhMFSFPwyhOw
fONYxAtaiDKahn5pvu+rktJZoKUEX/iNrxgY5j7xy7lb1FlyB8qYngdeT8JZlQEH07SMvH7KcdsL
mwdd1lzFvIOprcFSKRwX4+q8oIYROZ5LvcphSQ1wSqbAPkn6gParKITTUB0ODMQO7WI/X2Ak9TNP
stC0wUfLqSNT6Tp95YaGpTVFJm4Dtwl0m8o86K04C3rtArmRPsOZ6xnArmDZFHd+ny58iRtvGgrd
b6zhPgsLKRKYPh7N7baRWm+VrdS+FtB/rtMsCeuIXOM+kb20eK1r9EMXNaS6NjPRpU4i8vLKqBJQ
SZ5iIRCImMLbcqWPky89jhL/PO/iqJ2pxujlBQYP94MegPtmtG7sWhzD5J1VScvoVJm9BOYrHMRO
RPNQ2bxxpxLL/EvUNGBZBF5Q3ynDbL5lhU/PatZ47pSH4MxbCXdhHCNKg3aWFDW+7tuM6u9UaeAP
uNTgjsbUFLdL3LF2WpM4kGdFSwg4hcxT5EZqTHxKUD5MziDI1ZxFyle3baeDA4fyBrDxmwQYSxUI
3QvQYOIT5QhmdwxSsnBgd3GbLkolXHIbFFUYvic8Efqi1YOmuirbcjA+/a69NULNbKdpE8NXp2kP
3lpL4rKfo5ANDz+w3oB8Ar6yGF/rRgJPUeUGvCo/TMPeFmENSyeLvFC+SwoGS76owCrw4BrIVFIm
/k2O9a5ILJr5COBuira6ijU/U5ZEVd7OWjjLgk67OieD0IDFZMMTgQBpBR7s5DKJP7lwEsI5r6Xk
FvchLGG3nWcum4QCG20RdO9p2SJ14YGZG1ykWRIGdxy0xVwlCF/nwsu/QFmxmVu+7ktynnJPVBeu
n3q10xUsb8DA7eg8I/BabcTy7j6MQuO2rRRKz3LU1eHnxow9dRa7Wvy968UgQ2Qe+Q74AZxOJel8
NcvMWHzWkBvPIFLi5RbTQcx1ReO/l2mpLkQcBoZjkIJ4IPbgkFKr9on4VARa7U0jksAy6TWXioWe
pDhfxSCQu3PoEA9roxkk9jQwNHijbd3XU1AyTX6Bi4qYtiuisgZNS2sEpncefC1ELT5oHZjp570o
C/xQqqRTVowxqxeyITBUG2O/t/XGM71FBrA0thYKc9andV1etR2L7oJa5RZn6kyP29o46xsTwAkR
Vv08i8I0vUrMVr/USqSnUz9P4vrC65rMt7mhYv8DWCLqAYkExAiITlVboQ8xB0s0Nc9BC3T5XeTl
WP6J057y2urBAus+ZiXVBAym3GLqMy30zjU3a775HtJqO2LKDBdSIPyuVZrbz4sqV3Iq+womqSRl
QG/bMOqN69jMosjKsxqZVzr29dbuwLpR08bPALWGJ9Kzip7FIDuUiqa4pW3h1BHhxbznOcz+UG89
5nRuh5TtZsrMPzdGhz8EfgFzDTSd+ARzPVa3iUgwCFiSiWDGY99srLb6QnjVcGyFYc0+GiTJG6cx
vFK/0t2I1+9zV4kClDvM6GkmKaAJjkPXXkpahuklKzKf3pIWRebCbVMBz9W2mncVFlrWOLFyQWaA
NVaVV1HkAv+FCL2Z8nnoO02L0KLLdVj3nWkyaemuz67WVukm4nr7aOQ/hgufxzKehzb2iZFcyfsi
Ven3chwk2Rrof3kkBeKyP4MiQ/x3aLfzzIjfif/+EUFc6GH5MtlTPGXYvDC0fOCg0jmcMQy+yY94
CpRMMQiNIEoJopjApafoL+SGoBYD9rfoQ3EdHB3wM54C7WGgwTHkDaCxE7QGgSOLnwJKW3B6q3Tz
+1b0d+jEuOUbGXBkDGyCBZkCJgd0/Bu5lrz1clFxv7oJZJmd80joV0XSXvAkym2jKj6ZcezkQRme
JSmL+pWfqlx7V3Ud2Hg9BDVxG70TfpZYZdi9Kz39PFVxOssjJS3cdxAXCLE2l1GtW3rmz7yw9hdg
fCLby1yIFzbK821R58ksZllU3XVe9kX4XWppsPPLYmABBHZGlH5et1p/bmRJ67t2xzt5XkWh0xFX
Oyu14rsnkh5CEsiddzgF5wiHYhFVXv0pE5xfEGmGV5wmYPvLu6yifjblcYdmGebSqQsNOawWiZPS
njpRJIlFTAHiAouLkEE8OPewbZSknBltds0Nv7ZqmopZHfWtpbklmBR+0pwVjbrGSgm7TPIvReNd
driZ+qhziCJXSPcumr70rTKAgLIEUWgFnNtNpappAghD9FQrp/Bl3ne3Sc2vXR/U7iw3ct8CnwjM
VV/hM1FU7/2Q3vEAJdUiM32tfCdxkp+BV2MnuW+e5UankjuzRKKw/MpltUWZq88pburAMlzje+hW
zWKoLZtXSRg6fZzcdoG6NvXsPIn86xyRC15qs1Q151psOmkPoiZPLBT0tiGzhyYh72UpvvxHRMx/
m/AwEIJF+3ry6PkJo2MJ8kj7TIJAvgdDwgdjaJA7RF+eSRAQEFCYCeW1UHBvgrh6kiDQJRnBkSQC
mj2ydd7puQSBsBVEfYk5lA8wOFz3L0gQCATtShCISEHbGggcws8QFn4etxAx60VSG/VNVEvwnSGL
kqLzqMX6edJDqMEOzPhjF3jEYq12yRMI/QRGXFtNYEIuSUMWLoMPrVdehLy9q1F72bk4sDLfFBao
VbCPZA9uZ/mpibtrFtOFIU2LRm5q5VzdZG17bmaVabdxvpB91FixUuBAesJymWjnBaXfKYd0VrOe
yDLsbNDBZFqEWm71XJ9VQcBtPQJ3XCj/S2e6vqUivZuKsosdVGQfdLOqLL3SCCTGPJtmPbI7SHro
Xl7bReJ+jgR2SmJ2dqGUY8jmmwkppsDNYwe60N/nAZN2bco/TTBxLQjMLmjLwd6VzAJH7k/T0+ec
Zb3tNnTmc8iFURWfEbM2nDrlZ6oF4dvpdQH+T/utS91vcdneoNTPLQOC2xIJacd6OA/DdsEhQjfD
bVNAmFZLLe5lDx7SDafFyZ9ZagQW9WvquFW5Ml3SX6uwW8rMcC8qQ0IkySCx5XvmVEs4fk8UKxwd
4hC2HCzWVLVi3jThBTby+gsXdUGtCrKYM4iH2ZBSk1PdZeks6iiyIa0DPqfvI8sTfWpVJFFXHeKt
E0IIecZTyGq5kdbZJcxmq1ChP9UkxEo6JN1pgpS8kCiN5pAHK++IUfefII/kOykC/yJUEbrqzJjN
+iYMv6RFTc4lY+aftYrj96rA+a1vErnguGgvc+FSp+6i9Bzs/6KyNF0PLt0myQb3t72sij4iVh8j
91vLpcbBXtPyRULQuzAVeOr7TfYRdfDi5y4E/b9qgfC+6zyqpvEgrJuyq6YhyO8uJpBWGEQ65N5g
3hTgWIK0L7se3nozzUELKNAGEAMQtpZX18WgKNxBZTBUQ1psUCNsUCg6aBZ9UDF5jCBEOigd0D4Q
N/GscFBIyaCazEFJ9XqInXRQXGxQYelamxF5xx7VGyi6dFB54aD8BERfFiZUtlj+oBo1DkpSgbZs
B7UJzrnTDor0/4Q5WIIgkCEm/row/yPKZLJ6QYwD1ZMYhxYx0PuJQt3e0HEEDL5nYhzOOWeQbTOM
x/TZlhiHs7Ohc4VBDdg3YzIQvk+JNQ7dt6EFM2ymhFIAMBP/WmJtJ/wMxd8EUigUYrLAJx5Oinwu
xr2CNUFAeXSj4fyLJ0vwj6voG+6MRYTjxAog6a2KasqM2EI1rELqXYouv254DDGFBsRvPKSOK0+z
C1aRmWegGUrpXSNrMuUsreza6y5R6TqmlkKgCZefJCeZHeHo0jfyyK614iwK1TI2W8+qsP7gEqns
TIs92zPai5bXD5Ajz20eglUFJvXU7GrDwl3ST1GlRU4RQ0oZXLHSZpWobL1Dpl2mSTdL0u6WQKrb
IV50UbUGtcAZ+xNS0a0DPvJDisxz0G6Zk7dJZnm1Cq3Yo5bhQx4iYeK2F/hz7fZQzcBlCIF3rbEi
VsKvZiDt3suIFceeazF3Qb1y1rHUtXLwUi3StJ9637sqWXKRudmFD89kpZ0srJiQ940Mndrz4mmY
kCsXkw9uF5VgVFaxBR0DIaumagjchxq3dJ2exbSTtsuzz9woNNtEnVd5tgH1D95dSYLsK4SGPnW9
3lyUg06kpZpHuIH4b158bT3w/5NwHmeNCXrMSC29AQO7oi6xfJdf+R75RHMFIl02NxokD6dhWPUO
MXpv2gsIvXiF0OZaWr2nmv9ggOKdQxjKxhBcukjNZdkuIQI30zNzqTqazqsCzaNKedMia+L0k8B+
chehKAtX0usfmtZ/31Mo8WBVljIrLHzOlwUOrl2Y3wtUJuisLUl6QwpX3Oixq8474dq6ADO5YeZZ
WXSBhXwkbV8X3TUNevB6ZRo3cwjgf26SxmEy9q9om67AqSdnKPVEbhUm93vr/+TcWs4ZkDB+Xc5t
zp3aFXQD2Q9Bx2GrCFiesFMIokvrWoAne3WQgUyA1QkdlaBW4Lm9qoPHCwdMQz2k0MEdhTKBH4IO
GttCVubxfFu8vvQX7FUwwrf9XQGSFg9bXRg2Bid7W8y1SPPqokiq674L7cE28JRhSR4/ThCIZ7zi
WKMdx1pAcxIO5jl0sCAETK3tL8IQoMvNQM+uUWWIj6Gfa6Yds6jrz0DQGwXkbZJKXyjl9ncBgbgs
nDOnfw44875kacDPC68TF5jFkMuC3Hp763f0Pe3SGpJBncfURR0Gin6t29zkt42b1/UswKnu1Hot
LTPUopsmiBSeyixLCQR6o6q2uea5gSWVm/wJhrCYGrwvEMjAeyPSm2umZ9GNXqEssnEWRt0sdVtq
RzVYT5FKG4vJJqU3qMZGeFlHwU1RhmBtg0sOWZZb6LSzMlT2kOQe5O7QB1bnZ1ChMTc0M50TBE+h
ZXIqdHcm4qnRxgu363KHhrF0wHRzoi7/7nOQDZl+jUn2vaL1XYRBOjZ6EXxhYaqc/8feuTXZiWPb
+hexA8RNPB4u65ZrZa682Wm/KNJ2WiBAAgRC8Ov3wHt3te1y29ER5+XE6ZeO6qjKJLlJc475jUHC
6+nixN1w20N7PzVVcumStinWlehUOo7/NcAs8wANzAUG0HdFa1ifVo0TFmSmF39MbrXUc74SanJe
rWQ/yvh58ZyXhpR9jul1OKTjyEmMtZGUeCxYW+CDYVUBWAa/YiQ7r46G5yEYfZtHVJYPmhunmGJv
KBLrgnxqKnQoAVFjqusJFbQzLGh11oce+NWpdDzv9rt37xfizS9gDvy6EB9OQRkOWjz8qfPql6Hn
3NLhVhft6zyk3uP6iMYi7bPxIA/MS8ucF+0+LoZCpuEp2PkFObCs/sOz/lPpQL8JVSB78G1iFEoB
+sAfH/XQDvPENfAERvhpacB31bxnaTcHBHJynRS9Yf5uINFQpYy6Fx4P7OThHkV132ZLvNwm4PNS
StaPIzTQnSbQ08ex2zG6foyhXKChckpgM/Z933RxSoZ+yWIt/NzO2Ma8UrTYr22x+GhUPJkJtmZ9
QFm6hslh9b10IWSPr5h4aT8OeCiSIDOtPAgbQPUJhlS5XTGjWiesLtNaVl5uugrbutA5XuLb2Sb+
vueiTrXPn/msDp7fXiZL3dShHWYmeNDipEcz6YrH39/iHxcRXFmkWEVI9d4S6Hx4835aRJKVzEnX
suHWNa3YYyFocPIACZ2qLEJVQVXr+evvD7nR5d+tkH8/5k9307EGsGfN9S1mcR/ACWZ24ipfdYyx
wHRRPUNzFw0dOEoohI0e0xAc1HkdpjKlTnhWFX1xKwwSjHa+sjrYdX1/ISq6d9n6OeT9x3au+ryX
fff/Jc+HsvtHFRqvFN7rf70n/58WHxoffv1T/9iSkYWFBgNrBb4WgO/jebil/9iStyQ0AmR1+4bA
jxo0PjfuJq6PiI5vKtH3TB/iML04hNnsf4Wn+N9RkND7/PDEgXPe9CMXMFXsbUTz5j/8vvVQXbjW
4cL0ndv4T1jsH4kOb9pA39e2E+lsgvLEXYAhXnAQyyLytq7ZjplozkY7sdTtQRnHyzzlGBU/uMG6
ZmUXe+kcjFGqV+9+dHsAYQl+l4xVWTSi844JHwhUpuZxiKVIV6lo6il7cXpXpa0UXQbpwckcG7I8
HmNRNIY46TDO/a0r26cY+vQlNqs8C0LGVEVQAjhD2UuaeB9o6MfUqDmLypKn6yCfSkkhLjvYB91B
H/suxNI28kLXmCfHQfsG6ugdiA0nbUh4UL7z6Ky1l7JeX9ZtOLuG/BOITJH24QSlSc2FHI7CO3vc
/2LK18HPxoQflGI8n80EAmudBK5I3eSysXVOVt0V3SJe5xWtlx2HL9M4n7yxm9PExQkNhh31QK8L
9td0kYWznqfRO9mAfgxFdFSuCNJkCd0cJc954MO1aq1NA0PBXlrvDttik3J3Kjzq4pb4sU5HzvUx
HgI3xTb6QPgc3CdO+dkSea8lxRi28Zus8kpvR3pFUh0bb+dHaC87psaiqQeRs3r20sGlZ1KVx2XC
WhcOZS6ofLC1RhuwTl7R+wDHqMY0IkpA9GAl7Qvej+aRj66fMS95zx0lUshO+94VJ13HT0GyvnoO
l/t2qdMRrYgwZZIrUtZpB5Ij7YLuMLuGZNHYn/CRJI371+8TvxVZzTzpXrtglI+U9TjwoNGiqbs1
GD5XalZHYpwrHvDXRFUqHQSXp7L2XobeXAaQKLlDA6CVs/9m5+nNxMuy06Pt0l5TdgAc8qnFK5oq
/ClZjZHFrpqnx5BwfdNS92SE+NCtyc3aexDjVblXs3Pul6VLtUvd3cix26uazRDV9O0oVrw+5qnk
7FNfxvQgfeA4wmkf2eqDDSfT+96Pjxvof6ChOmEk0KA1jdod1fIY8fB5KN3yZEYZpbVYH/E753MP
iRfTeaWKEct/9o3EMAOQGi/Zbp71l8yNWJR7LHivlRgys0I51VrKkyaTzawTx2m5VH3a6GbMVqvV
C3cZP8iyHK4iCpN09vvcysXb0al9h2pApHwsMfwWXqqJqnCDOlmwRkwYxNdg/5eRHHWlylSJqMwH
Mh3dlbrHnpbH2GPNPsLfkvaRv6RYFseUYoCrxbimqkehOPYH4US5UODmhRgxaGocD29aMGYANWy6
BGWMqhMlQOABtcE/OEF4FVCWlTbPnhU34TCdlI/iJRgeTYxCedXtHpR+ncqWramsvVtjp+dKhTJt
lvLaBtN9zed3tLYX3a4vmkFdrQEKp60S7wDTnQLrHhatn0YauWk/STd1lfLTpLHnWvdF7A5q1y5U
owiwFzb497VcmsLOXhGT7kQmwPqLnr4GIftYce8OxOItAMsrVGjoJkZ/YiyE7livL02Jjj/oKS1A
k3zUbYwp8wLteyTdkyqDG+t0qjANnhoQtUv9DjaP8FAFkfT3cJCTolRgwcJK5d92rv/b4+b/92ZB
5Ldb+F9faPn7Lr794F+7OMEnioHfUnxx739b5L92cXzWa/soCHpr9LRky6f+B5qPrR/kMJwBfoSw
TEyO/9lYY4dH/NYW0rUNn/+dpjr6EV7dvpkcwrKDdAGKFxXRTz/Bq3EzctoS7tx5Duw4Y+Vl2Iff
2Iz9rw6bCD2Vuws9sRsWDv+OW3XDQzK0zj2JjeNz8IwyfuAcknWagMXKJ+0N7xmt4uUzgPgxjUrW
poQswV70eF80oeue6xn/BDlhD+/BACJopqBlK3BVnZPsBo+8yK52P/O+abOe2G6nyrjJ5wlErOEm
SkeF/9aP+wBvBBk+dh2WGUiENF9LE55mGZ+EwKhj9odjWLbYpCZnP5HpU2uxTBvg2GmTSIId2xTU
WS4wZiVpC0dLmQTmlkp346gELxKEE++HZSmxs3Z+OtQW9QIwRn9J6oJysqaEDV2x+nNORquv6GL9
VC5j88HQcHn0vPdVADlRO/Vt1fMyBz98L9YRZBXxMFsRmPXM1d1cdZ91Ne8iuvCNC8VqZ8K5iKld
92M8VycJv1Ua+pU91ot2Cx32fp0Ci51Tal286x0lKW6Lcxf01ZKGWObEqFBXVMGpDyCR1EbZ+5WK
eC91UN9b496priwPSe3wjDkufghwabVzHLA+IFplgzGYQK80sLJJVxLLpLCoKHJNY2dIRVmucZpg
IvMY4rB77G+dW+DBlkeAc2bfalWdWOTQSxXMGstQwi51hB+WF6+f2L03lR8AGodpKaNXDu03nXVD
CoDVH2rQfQUbu69uAgR0dPi5YWWbgoG8a9xaZeXSfi3XMO+h194tbbBAlgmAdw+0zhIJJcYx0XEw
fXwiYedlRiyPpVhwm9p2H5T4n2SgmWfDCdrsMpMkrSZonSHWzokB0DEzCS4gxJ3T4seZp/zGv4ah
rnG1odu6OoUCnRFglnknmvE89ImbT3jQ7lAwRruhD/ubKFAqd5TaqwE4vaDrtPfL5mNj4nx0rZct
jtWn2bZ+2hju7cKA0dsaLbPTJl+Io8+RaO/VND0zx7/oLiZTSpzudnGq5YgeHLuqWg9OCIG4HcPm
yRUM/CJ9Gx17UzXxTRXE56VUSRGD6O/tUkRqBdRK7+giz2HbfkRhfBN61bktKc+qKWQXSTudA8IC
Q1nyRwCG/NiXzXEQ5lD3uEkUuHw3V0DLRcxSUtNXPkGOHqPqzhp4SKwEsuCMpoUpps+8qDkmY1hQ
fCS+HWg6q9rLFP0KxglLS7sDybXrgAO6RqsdJ+5DB12n7MQxNsFNMtts9sYlLccQMLltnmnj3pFg
eo6MS/GQJiq6Y9AyThAXvna99xCu0zGeaO4D/Y1A28OhZm9CB2YFY17LyN9Hgyk054CdQ3rVtXyg
inxJAHanbeO/jcnyEDg2ytu+uwCK2Tl1kHW4x/BJVFkACyBvDYoht0tBcH1el+UJrqU29WpxRM98
XZW9aylsiYJvBNghblWGhbTGLNW9b6W9XSB2kHU5SraVkEA7Vme/TvUB3zjPMMY7RNruHDBlWImq
zxGdssbpDs6UZHUZF0un7mTnYp931d7DsCAVE7+Ssckrww/WpXmrnLMxC4Dl6rVH77DUNgMr+xXt
ZMagzcG+nrGxeRuaN8WmBzsCRKcoU9worWb5EvZxrjGeRPJMIcchA7R/BxIKPHK0CzDHDrl9CGzy
1IiV5EnT6FTN7r6FrQ++SjyBzElhVNrRBIxlX0FzKHcLpkFA3CCy2QQ6XHn0veVg1+HF9cbTGtLH
KOpewMQ8cLPcTy28gd1b77plBugghVdlV0XdTrMlr3mwMTgZ98t71PYXZfwHSEtfPWfcZBTYFeK0
c92Dk5gD1c7ORTsoQnUGrvs84C+NWYKhfdgVzDE32p12eBVvdUJ3nq9PPltwQPQbHS6YlTqHMiIx
rSGf50m94FcFO4sp9KKDLsOb1OcxiMtFzq+QITNJnZtmVMfViQu1wPVghnpXOtgkyo71GRioOp2i
eE9G876d5McRctrSxUc40YoODstMjcNB0vDo2lZtMtfeE+ZlHtz3ahAPyvH2LLC7ik24dknB5XiI
xxBPZ7xHFX8vVXPTrRIjt+mxqeIDteyO+etRBu3JMO9SQsNJ5VTtwKNeO+Ye8YJBzaP3YkjOvmc/
dFEDhtadMpLQZzZE93rQd1KHD5NFo049/Thh3mY6JYFdYowWNucm5KeG9mjjG34ZtoVqVS9LPcJB
Ee47QKRoSeFemuFT3YoeecM6+Tx0y8kj6sYhQXnnMMzrOUwLjxpG081EcRpcN13nOTNjjY1HfAHC
8CzGNj5Cr63SJB4/bKIfCWqU+aDNK+9L1Dop5OEXjJ6OyJa+w3pbFe5Q771Z3wANx3vZwEy4ut6H
EoL2LvHrp3YYAZdacBa+dxU1FeDWu1QqMBuExgcGHH4mTgsuVWUGBrCYzxiQLSSvG1GEpbxaHu0F
syf0Nl86pyscLV7HIUw77H94AzQmdSYupglTs9KBuIcKoR7hTGiwSdhEHoxDvxgT7nTl7jlmr5Vr
C6lgsG61sCm368628mYZ+c0whk8qxJxyGAGFQYQbqzpzytk5SRLgWW/wnq5g29SxccbL6swf9NB9
nuhQcAFKgTX2ArB7yFoX2993qtQv1OofBy//UyFCYIpg1QNylISbCPSdW26ch2GYKuncue2hgpaq
6gcHTffvD/KTXvqtDPUxKQH7BIMV5uM/HgT2DRdaqufcWfppmPfz9MGqr9zPW1P+4Ui/Kni/P9L2
l3x3OoqpxVsZjkTobRksmNJ4mEUcVfROTB8rFWW/P7FfXj28TRjNB1skyE8nRqiaKGsUvxrn4zjd
9PyzbD7//hC/OiNUyyiWcZjN6ffjGbEotm6ydOXVBJmY92A8i6aEDM73FTpxMv5hevGLMwLtgKYF
CFqw2TZ/PJyRkSaLO1ZXBBGkld8DHdh39R/O6Ue767eH7oeDbP/+u7ukwVWGEcNBxIDpznAWSfk/
Leu/HPT96TS2f//dEcy4jlBBcIShu0Rzl9XqicXVHw6yDSX/acD8+2n8dGu6eqk70+rqah0/LcMs
qa5BBbQ+/hBWWaTvyKT/cMRfnRYi1yENh1GCRDHI0t+fVo2JaCWFV13j/r53OcSRY8y+/v6B+9Ux
MBwFUwD3LEzjP106FvpORM0grlKXBXjTWKpsbp5/f5BfXTpMohMw054fg4f88UTUXMZxVVmB+/NB
RucSnSIUvzRhj2K6CUwPWPD+90fcnqmfb9b3R/zpZpUJitnOW8TVtQ6GIO99FFC/P8LfDK0BNHzE
roZbfBBM91u7//3d0Soo69J67VWch+N4xOZ5QaRDEd6XD2Emi2pHM2f3+2P+8mZ9dx1/OmRp3NaO
nRFXE0F+4uBb4BQl6vD7o/z62gW4JNg5ETf5092KVi+Kx9YVV9YnGRxOlI5/uHbb1f/57gTwAiPZ
YPuY7s8PNsyilbdoR1xjtL4LJag2P1YBT7kQfziXX12x74/00wKHjlgNoO7F1QvfSnofssd+/cPy
9utDhHC9JzHepPinR63yakODlddXKe/CyaZ2o9en6A9b3a9eITxsfx3lp1tfD6YcF46jVPXnxjkw
3ymGYBfW8AaNV6cGfPOHe/S30yJItkEQjethK/KC4KdSgSQs7tpYNdfR7IEwzVHRrw//5oP20yEg
s33/BknDcUHLvrnOq4QXnOeLCP9w2f72LH87xLfEXBQ80Nl+PISwtnUadFpX3Xx21mM0V384wN8e
ZRwAA70Q7wmENwz3fjwAls4Y0+61vaLOa6cwK8WxEihMk7dv1+o/quyGsv/rwSp8tiOu1N+msfih
vxRZDE9hxNluLognspVMfymyiETZxpkQQ/EkfR/ttMU3QqaFTvdPav8fTCc+SAfnPxw5YYgqeUt9
+jdUWRgEfljstsHqRuWjotu0WWwVP60PprMahufSv9M2cDFyMcd5CfrcEz6EyKjfKR/a0DAu72OC
Fl7z4PPg0zMUjToPN0+jsPCPjEN5M87KTaUrL47ABkqRi5RbbW7tEGkIBIPKlJo+LYn8UFa8gNH2
oQ7EHiLmifjkoYe0ChZxAWPfAdaBMnuWLSzD3ImfNfSYrEnaEW5D9gy/wPsQVmpMwVabRba9C7l/
52EBSHp1ipv+WIerf1wNqASItjQzpd0jdgWgTvcVBqOHaebhSXK2Rx7QJwpNMtHrOwtLUorcJALJ
FDIcgppk7ncscy2o1Lgr383e9LG2KHuxqx7IhK61AwKftiX87yOmYFnV+bd125+aOoAgPAxfe1N6
qXUU5lgNvavaAfNi3t+J0HQn26IbnSrMYiHl1HBBDjxLXM5udaTcHIPANUr7YP1KialvTRB/Xitc
3I615T2BATEt9fBWwsRzEao5homD0Qzpln0pNb3TlUXKVDzjrk1lgKCmkWd1a2eYkiVEBOFFe1gF
eArJKjwENub3Lve9/doJnva8gt4iobYjbkClVevzwl0acfB924DDr8helFuQyIpYjMhCusHwCe5X
5uWeXYB1QobeIQOM7YLZb4qhHcFQKb8tpC/OMCLdrKO4q6V3xGax5lVLv7JVRKmI2wAdbwUpZFpE
4bF42YNPbwpXlBQXwlvgfOqT/SiAuwvkVu0TAvNoywckg8B2/QD0k+6nLiwLUGbi4LqM5cY0Pmgc
37lHFlWQtivOtLcRJCnUmzvKnTETy0zTRXG02zBzw51ZV6cQg8w9J+XTQvR1mlxZlA40QTV2n1QD
40hVRggQ6JPg1CUYkHFvC8BZt0tUEflx1qF4lnCupxpF3mGZkPZDLFfQ9aR3F8KBAfVmZXBwxrjG
gzMd6AxAtZwDoAnxVH0B7hbDTRWzwvDWObij2E1hUzAmMfuEfJq2iRxSzHCgVgcC4J2YaT4g8CyL
jIjuV8/eCzs9RHNbF5qgOs8a0twi+2I8wB79dZTrp9Ez5W7svAnDiWa4VLC6Zj7EyWboo2O0zOwc
ObHZUyaDB+JM76pEjU7ujpNl+5JYz9vU7M8z/qp4dWqYxUWTalr2e4jHT54zezsLkQXSa3KSLYmA
TS0ecsYm+O301gSDvUDuQFFJ6ZycwD1Uvv9sMHTN4PR7antxioW8zrHOHCe+6PAji8nNpCIDKah5
m6PxbAMHCg2Y4JzO03yekHNwSJIR3OIAWYPX7pngaGVX3hgTfO0RC5B5a3NxZ9dLTRK/WylSXSqx
UiDU7RcdI+oFSRBHJZZ7VIRn2F0QQ7JZYWRL1R6SENRnU8InsyibGjhKkNTUHqUGmh5rP9wtC26h
17d3k8MfG8s+umr60AVYHqjbmTyuh5tq9l5tHUXAOXykiGjFd97kwW3oIwonGAojNCiP1Wsx+TYX
Tef3CNeD69AJromNaapaTD1g2MJ/OboC06jGZN2obibhHuAghk4HblK4qr+rYEtKBVIiUscm+WiH
N82iOg1NlSPEI/oAg18bFkraiyTjZxXERzmFL5Cdw2PVeqkY1k+IO0Goh7IHnHSzK4k7wSS+5k0U
32LKsS8T5UAbnbM6gYvIKO/g9NFhmftckE2/r+Z7hA2ekawHvqJqPo00OcTSv/V4t3eCfs8R5oF7
mtnGw/8PX0uKcDtdTV91FV+RDjQWRi3HsQ1KkJNN5mCUhAAGB3sBdGt/uSnH5r5NnNyryifIX0UZ
yUM8NTKf2uqpqZBLiAlGKpmO0xYoLUPATNUgWw8jIp2QDOzRG5vkkmIfc5a9pkRT0Cp1k/FIPrjV
MBT/qY3cb4YXtCv/ujZCktyreRte9S/qI/zgX/URhs9bRjW8yr6L/0F98ld9hM8zJghHRdESuVtz
8dfE2qeIvsQPuUhrwrT7B89L/F8Q9UCdwUGzJdC5/1b0pb/Nvr9rBlEfUXSaACyjb0NzWBh/rKAl
p9hIDFV3rtvwQ4e6oeSwXAz+fDPFZsnmieiznYja++4K9MFOVykCbJGy/TSA9M21ow9AO8Ii8QfM
GebIT0VQ9hk25xXAzUzycqQOUMlozR1M7K49T96X4Qo6BtbEzLrrDSJDzkMYHKhKsOU6GLktHUbf
XGVrTy/rsMAtoWpzmJrxxFvRI6sgPK0USjUP4ktEgmcedhOEXnqfzHGdy6EC8Da8EmCZSGbg70wb
dumMBC9k1sQmq816iWT83jJEm8B1+pI06n1kzU1Se+c5bp6csL2MFFIWUiye5QDc0/GQRsTmm3gN
HqQUO487H0hlMw7aG2xdDGNQd+5i9UJodOuXrYBGZffGgnvBQ/E6NiBWpEXMpBOPRRWtZQrbeJP7
g40Q19MvmD7KqTCYQiGQqr0bZgvPG/cPqiRVCljqdt4wdL7O3h6+x52IejBgRsCRCdjXIevVZ9Fn
MnZP9bTsZoqF1udQ3YNot5TtsUKyCdyg+hpN8XPZM150wfISVRiqV3PY5ajiMWyTldr51aJzSWKU
vOv9YGW888rmZL3mrVxbJGOM5DkqBw9JHoRlkUruINuT24bFB0v5Y38blMcI4B1SsG6iBc5X4OO7
Kjaw3PRIrRhXUYw+Wtphoi9lhGpn6jd+QFV7GKxkWrfqcx1HKhcjbC6k93YNRSaFi4J6XA4VAjA3
JPnTMPhvcB68oSLnB94Ht1uehzU9RwabaQuxNME7P6wRXQR1AyOsCk7k/tSG0bEJPYTklLuBclBb
yE8qFmsJho3RsqffDDkynMZiNs591c1fkrWehwzTeZG5QOBWYACw5PenwOkJ8OrukEQbekXgKZDg
QvIgoAeykXVqsK9I9nmClzM3ui3cze+PRxfPUfJe+cbPyo3RQ+nXF1XCbVHHE/IEkF6BrRxU39ig
X/DD5iExSCgkzE+RP3eUSXRmRnsIOQUd2HCB9yKGJ5OC5tz5G0UIc7K7czay0EVEyM0C2BDY+Gd/
ow9HYIh04xG3NDrMs3Au5YjJkbMCJguAv3F3vVMKb4rY2EaEBFwZYMeydd282/jHCCBkI6OPI8BI
re6rIOjSAcwkpS072kjdWgb3sQFXmRD1JdANwD4Ql23QdkVc6zp3rIMY1Q3MnMMNR+1Dnm+jXHBz
Yv1INpIT+rQ4wmtRVAoz357hMTAte102BJQs/YVtUKgEHWq74CC90kGtWr5zeP1WT3hliMSQC6Fh
O53AjbfBpgmCf5Fz0jwh9+1rshGp3OK58zdIVUleBIi7gzMDBJzhvTw7xIYXD3irU7X9rTXIUULS
mSjiZGW5xdg/mxjYDj6AkS1nc8HQkoLdBD/bJNVjOeBpDgPuHYdGlDAF444jXQkZhct6r1gXIREC
LL5uzZp1AHX9fphQ4ePFKleMN0FdIF1tI3vNMgpMU8fgAB8x2rISucD4XZPf37eBf9MAEHaZ+8Q2
/swjBoN8EGn+ulpQMmoYBFzh3vBSJ6Gei0jLSGR6EjfTZJBjMBq/JUArmUSqRaVhZ+ZlcP5PTfCt
JiBQ/v51TXD7Zl7/noYSYoTwY0GwYeZg1OA0/aaK/FUQeP+F9RCZbzA0Ii520yr+kWUA1xi0FUSe
wEeFVCgPtcI/BROQZwjhhKsZ+Nu/R7Eh8frnegCBK0hLSJCSinIFf8WP9QCb0OiHrFruKnn1l3jM
0JAj4mdMni2cGKm7APNOiDzTtXmgS/BpATOaxc4K1rxEQ7pUGnFMYwLQOLmDZKQAvUafkrK+NFPy
bl37Z3+WXzHn3cEMBg8s5jdNh9eU6ghdDKKlXdKeMVbGQJuZBDyVfzu7PbiGyN041vod8qLXna8i
TKlBCRDCgO2S8KVu4nd8WT85jMqM1clh7qfnuhqvQxLcIo7U20NnfUR+37NSlt8yM57UbIB6O/rG
owKhW9LsWqtwzisIa7QtdDpOtNxBxGKgXuROls77qasyYDkpphK3DVINV8Rq5TJGN8sknGYrmlxR
9bueAqFDMlcKx/IXlVR3gNyjlFf98rg6LbAT5sNgplHdYPcPhV9lcJ3CeCsdUSRO+KFda1JEM4sL
W7nNKVZVkvfIE8cCyvY2VltjaPIGCZo50kUBvyEzyfemxwioS7EO4Tvw1n2d8WoIHpN44iNyJGCV
qbHya70+e/O8igxoXV/mIZJoNjsAJni3yBYT6CxK3gQ5U2ub9qY608gUtV72bmOhT5mogLMVIgXn
e+sGJotXOH8YYJEg7sxGkb11Irw0rkby77gibhx2Ikw5Zxhtp2eE+n2sgNGwEEBdo7BSamDt040d
YpFFQh4UcZ2irDuYmmNzSVzVZvXi3yBM4f0SRKe26+qsDZfX3gv756AF/tIGDx7617mbjxOxeysE
O1Qh9kunYgcM1bBU9/7NMmHXSBzQI4uzIJWxpe8cA6wq6p3dnBDAmAarOIh1yubjmoR16ios1gGX
eWIgpBikZlYVRDk3Xq+SsJ0/YYtxMGrAQP/d2jTvm5B8RXxOi+qtf3GpOktWP4Nq+cDb4WrLusrs
SA+1BPI8SNjHVXlgVsRZg8h0acdTi1jRjIj1xaC9lV7/Oi4VjObkJhEVOsHuQ1TNY878uUEamQRA
PjRPUzA8lzo0aTdhL3fj+gZgZdGtXpeO8YcegYCQyKLL0MUPaxnsXZ+9R6Cy3SPXIWun6WNI+QOy
K3exJ+/AEtzZzk3wjq3kLCiKzT6S57VGsLPPd7X8UtewtptRFHpme1XNLpjsAEkM4XKtojCn2I8Q
dIbkjzHWL+ukbcYi8grtTKKAqhF6jgwjr+EkRY37FK1AWK1qYohE8ZOU/AZczIeVlhcA1/c+cfae
W8s06ZMvrHUPbULxGMX90UwtHkC2oVS2YIK8hSLo8EJ5T3iMX+KxQl3N1O1YgcdJfNRvy4B49fmq
2AxPu/aCjMHemJdMhmkTIc+eIigOSSK2uS518lDXWFdKJPYfmSndov1v9s5sOW4rW6K/0j+ADgwH
B8BrFWoeWMWZfEGQFIV5nvH1d0Fq25La7ht+d4RfHBJJsaoA7JM7cyUEo3UmnffBa8D9lhdPq9ol
Q5Hn1r3qLVN0slUVmYfCrsUFpNtGGfOAkasro7si0z680YBsFE+ouvnRmPx3LdPgNrUjmqKjrJpY
PweNHy3qAo7emNjZ2ombzxwNCWkgiN0qLmaHYuksCki4THcWRn0zqZaeqI6TZh0aXduHrbYLgua2
8ruOwdvYyUmch1Y55Cm/ZRiXbtEwRZiTIlx2WG4UpO3StsT3dfk/KxKVrdZfP/IB9rb1259oAHzV
7xoA1YK4feidgJP+3X/++yOfNnDMDWx68bV8Q5n98MgXlMSCjMfSzlQwN5b99si3/z1TKiCnERj/
+/iimaDxswbAplGzhfYtem4Tg/v5mU+C1AeG6YmbeCqscTfJPDXeu8BovBtAi5hC2Xko+tb2Zrmq
De5G4YtFzCOLk2ILvciTIZ62Ml61TiPc2uSKVfuYp9RgsKTo8jdtnPwluuPbVNaDmxpB7Va1PCSp
D+fSiy5RCV3Q97h5pbVYdDaEQ3uckE4dlitxq3lAgGPu8krarQKsaG4gm0ObFQ7PifCp0+Q1NLKN
TNJqmQ9u1k2bsITewcJeJb2TXyciJ7nMd5x5uCISrEk6puilA3MRUXV6c6LqKmWpblsEXe5r+kVX
m+TUiilfgzXNXMaMHKJw+dXw/Lc2grCRYltsxk/O6aY7muVq9vC7SZqdBl08FRlWWVTOYitqONKI
KbhiCi1YGDnaymQ7FYUiw8GYwmilV9MnxqZ1m3cHzek3mgVPrcg3tVGvKsDHiNwdgjJPvqqbrbZg
rnuiNY66YGF1pIlkO5mYOFvqJxYB81qHSmjPcmGSFNsU/XDIo/sEPbFpsmtRqYcAnRGOIjROM712
vKXtLEWqQ1hlm0bR7LUti71mpu88PkmoWd4RqfsIGzeDEuVlco8+VV21gTXIa1RxR1/VRu5nV2Vq
xmKTakiPvhqrzyDcnHwhu/hDNw00c8wGod5+AJlaY1Lxl73NH4dt/8kpuF5GIJYWaTdsmzE4i8yz
V4hF47psgq+9wlQS2eMLHTH3zTRctU57Napir+bTS9jRXyLN2lhZvvgS6sO+V/3xNQnKeAHOD1O7
gQbUVd3CVIk7mdUVz+3WqmzlyCP3fgz5teDukV307RtvqAH6BRPxIdNtgwZdOZbOqpGjup2sr1qU
CzC4zWPXwEBNC6G7CUze2CccbSohiG1g5YVmAmLpqqWSBx9+XE5L7vfT2u4JVEajv8Gd/gJHYJtz
2WCCzYYFTGLWBvVEqgwzpAbvc+jxt8LCuoye8lw1KoAvQ0N+jh5ML/AhGhPRx91LoNN2IXhu8Wta
pPXyfcaBbxHAW25Lm2CAjL/WQXNTpOKtq9l7JLjY4jE627p6KKBhLVBwDhlw6IVuGN0yIoxVBTxD
GQd7fO+AP5uA86ruUNUZ2y+Tla/SBMdt7b8YsVEwzUoUrcCejdfmg6UEdwMRUdXpn8tAhLsicHbT
UB483y4OXl4/S+ZXTjJ3ipS7wLBvFKe+Bqr8LMR0TtNqG+d8NifJCF5oWevCVr/tOlYU4Gj9NtxU
UeCsYuygC64e+Vp39S7Qo/bWs7EzhVnCAN8fZFPH/yjc2neFmxPmXz/a3M/kX2coZn/mAOALf3+6
0dPEo0MF+fud8PmDwi1Y5uNr45n3Hz7Tb0+3uS5FVXnywTTBPk8q6/enG0W8AJstQExSGoD9/h7e
0/zl2SZgOWE1+OYRM/DR/KJvN14b1cmU6ZeMhY8ah0fLj5dGN37/iPylB1L/9pD8yVU1O5AIgyPn
4+UzfxXSYeTH7D/jnqQLV3ADklmsyFXMBVIhR1Q/hg9usdVp8htnbI9lXDxYOuNkQQJ22UOaX8WV
Fh+6ynRcsGjURYwYuBUTj7PXV899XRTL1A64yc+L+6BO7gp+4FIvkkuuhlwSVgbbt9RL14asvDTY
ObMUtg9lStcQloVlptWTi9GRZXecrT3ZremWadwWupNbxwO3IPGk2NbJEa1DBM14DjijLZGw75DQ
bpV0OCuKyWitzlMmizAaVnYwl8+9l4LYcLQHLvNkoTKFuvp8E+GwcAXdvO5F++TY1afuW69+Or5U
s5ActxZPqDG8mJV3kGCJ11C+tpy1q00dVLxDVfWQS38b2sJfJkFwwCjyTktVvO5SlTanDhpUkg+F
q0BmWCRIeWuN86aWEjSZRHQjbFh7YwKUvTBcdINXICUPVe2f8iFtF7k23lpluwEQuUU7VhYNIi3/
UCMkbgs6P9DNOwVlY8nsbS8t59Vp0HCBnrQl4MG6FfGCj7ZrM6Lx/kUb1Nuv9oiajvX6pHQtt8gM
h0XJoKGB9tB79AVSEEgkWriOteQCQztaG0a/mVJx8n3PXzSa2Dgdr23Qc2RWpNm5Rem8QpXc4kW5
zbNpdI2pfgwl6WcfnvLCaIgB9O0OGk3nVob6odKMtvD78TEJQ3MzGNONPhBfroOoI4NQfdES/Yve
JwwQg7bNE2cH30Bjmug3WFGuKeUYaAvyaBnkImSSfUxR8RxYdbBMZX7PczxyRWnF2741Nvgvlrrh
rdk0Q3bmI0akWtAhpg1B+ZaRNKjWk60049KUA1AWdYjDDgRJBUtc9GXmqla/1gjtsVauhn2SmBgq
RwKTHsqpML70qrMLTW3dTQjpxHGK7jEmuMfyu9cIFZrh/HgetNCNI31noARr+EiaeU1gl29Mo7da
rHzaDm9TyRMm59OI3aEDsVk35Ld7N+9jbaekJmfvvjvaFcOdgveB1ACb5roLZ3Ru/yIjq14NfnHy
Qw57dTEwAc8o9fpYRKDLmnrb980zTSGIvA6CSqTisc7J6HHJGll84Zl4SBRlNyX4VAI/CFbTMOIo
6sIvsqf/I+ojYzG02i3dBpshbz5j5lRQIyz/Sff01QrIwi4QFZB7ZTtK622I1NfJBNoEQ6lejMTh
xF3X19gw2n2R+4tkThVm1VJfI9mTwWyQlY1Vb4htpwOf0QLmranoNoYVNWtVwwjkd+I1ExpFA3nv
egoOcdEXmxZBYMz7lyqPMISM4rFpVPtUKHRp3M/ES98WlYdYk2rJ/3cb/ZmDwUWDh4zWXszKEJ+B
Z/3Cpqrr2hDeKMdLD95mITbefrjLT7uIjrW37KlYxTuW7gvvwCyF1rYxdj884C7fb9c/wqBnN9jP
N3F+vGPx3MGVhanwF8Ni5bVmp8h2unTWW+HtHLVZOMOrkv9/bKw/+zk63k4LHVgKDnc/n7jQEEkP
grS/kCGkTmqRJJ+Ov4OGvPjfv8/PT7/vLyevJ89AjXYygg0//5ySHZXZaoF6keahknDx2FqIp//9
M755UX990X78ZX75IW2gqrUOMe/SretHyA2rbqt+sd0ZjXGae/EWt9UKK9la3z6cbTdZnLtTuH6s
V97qGu37xRZe67Fx+YsuWUY3Xz3+73/fLLb/15s6g73pBSfqRaPbzy9CQi0PhxJVu+C3O3tXdaWe
tCd/T5MN2xx3XOxftM2wPJfrfmuay/TAMe2KEWkN5fC7q/cfjWT+AP/1ILlK/uXmFYyeP5FJ+MLf
BknQeCw4oOAYgicnu4wfBkmNItk5wk+eScPQyVv4x2ZkXpgweepUWXwXV/6QSbifAONiO8Iu429a
JXAV//Q5mq0SfB/uTCo5ClY02i+fo9L3BlPROhg9In/sZ0hHB61DYfQluVpXF0qjQHnwsHw2RdEs
HTMhfGYpFtQNrJy10mX7yccCSkdexaNOPLETtdyKk+2ywK7PNgHXZDrXuzAUVctGtPmq9JxuWc7w
kQgKCbU4kJ8HO+BAaD04kEp4qmRrOUGfsaCYcEPwtxVcExgAT17P4ayLirsqD6DDKKGz1VRCU4IH
oaEesASec3K+s3KgweSJtPVoIh0XUFWSPtyMM2Ylh7fCOv3Fa/R9I4ua2p32Tu38ZO2XVBqRYFYX
+CTfJTTpbTOjXCoqftZOPnzKXH5CTItcnIKtW0OAcQbjOdPzbF+0iP8UJb7pXXANZmwM/8wPJ0tv
YhNTmdFZBPZknj8OHJhX3Ho2MaruxoSwifFr7ecYpDxWv5NJxWiirYaZxpknxUbA5yTUcNvL2N+C
hrZRFExSj/3EUidUWF4oww0hVGMRwvwMYX92MwSUbFaO09HOF9mMCI1ghSZdvzNk80qpDMFHA5xo
C1d0mgGjtjo+2gm+xMtQQ0wrmgHZP+GR6BwDpfg6tYEJSaRDKI9aWpgGzHNiSoZNGmJYKcPI2RXl
SBo31h+weIF0oSpqqyNwk2IwXiaVQG5KIWx738rEP6PaFPtJTSsqQpR4W5j5qo/UW41FPUOGjfEA
x8YiVsPH2cmBW5FMvqGwPTZ8MrWFLAbXzOE9KEp+8Ym5s41Bg5DwCRVgSn0ECKnlYJTIvWgzXmKY
3140PBVm+MUy0qOnkFNkH0FIqGrShaW0b+xd2NcL40XRk1fGa5Y1vrUZHZEDk4q2uooPxAJXOLQE
wXUjA8Vkr0cKVNl3AGOKj9KzqKGjEJL6u7t0yr6qSW6vaP6SJI1HjH+xTwujEn1oUnk2dQyIwXCb
BM1x7JR77EGvDY9LDgksK1C5ywE0nOE9DFl0GPuUd8vTH/0U1SeovHvqzw5NxCtU6D7wv4K5Nbad
M1HQF8/qH/BlTYvETyLWlIzU1F29g9O47avo7BfVWvdmjJXV3fSauDVGfpfUC69Vre3ou1gK2977
AKRa2R8KxSSY2zzOxxU/MzE1mzdBOG2NKiVzCvGHHdozvAR7E/lKuohDdDxucyz9SgVT+Oy89Kjw
WnZh9VzV6d5wulNs0HirTo9thku4oyNnWRr9rqgIvPGBxS+tJLeYit9pesOBGCfVYpI2eenIWGET
tAFA5PUKHH26plRlOwmcRFGRRhQtFcuhBjGk45qe77jcpbR8FYvukrecQHR2guuWYLmvAlfSkM1U
XgLuSVdjlKeodT5MiZZZWPJBl+JkiDJaGi0mWLqOQZXPt7gqmGD7qne6k60TK8DLU9TposbB7mhm
sk0xwEAHxdCUNpLN3/DUTv6dpop3K0W59HX7RE2Gt/F9RVlzfr/VLHzopQ8EYdStd53+rZWWJdAn
ZAHykKasNNTFrBGuY4yWVTORbStZcoaVdp+FXQZN2Qo/ikA5S7p+VtQ7gB8On/qgu6mcYJua9teJ
EXjV4PHCwaziKC8BX4S1qaAx11P6lGLV90+T7o8wG7p8RVroYNrVvTMzg6qZHkRL4ms+hQ7eqs6g
DGR6ZoNNE2FXv8tGKZdTWxFZTM4BWCJW7K8DmCJt5hUZWbVPJn1FVj9ZtY15BU90ah1q0ORMO4rA
Htngj1QFFEs1E5HMnl0b/p57A1hS6FE1ADwpmilKMRYC/jXTszMDlsrxMTX7a9FHFz4PvAigmFKQ
TJPJPqiZvfCdmm2w+bUcYJq7DJCTJus9rX0HoQ4PGWAPT5gXCfipcEQGUZ+remZCWYnkWDZzohzJ
EjSc2VGZqjcL7rEuHJZtBl6qmjlTVlpz25GAnGcGlTnTqEBSwaWCVTFNkKqUmIatb+yqmWJFXkLf
4XIO4STAuMpn2lWswsykv0Mj5o1MMDOxvg0j/0xlM4Lor6eyw2eV/fdANn/N7wOZ9W9JkpyzmGV/
j+L86F1FVGM/pdMfxgqKldFvA5nJsovImqOxusK6Oh/hfhvIBMsuhyHKQgMjuono9zeyPRb/sh/m
euYxRwKDchyi4BykQGT8PNdbWuGr9Hk1ZwuPO3SesOJmHeiJC9DI2Vid/VZ7fr8u59wEG6hIKJTy
2u3owMjWo5dQpwuVdsu8LXdEiYuUI2XUqytu5a11KURV9ZesL86FEYf3ChgaB+kN7kpUT/XVRsB5
NRJzulJXRmpb9XRt5Tt9jioPWyJ0dTGRQmBy890SOuxc5amk3Jk1ejPrF3qzIoalgct+mFyjlXVY
r/VsCLV9moIovPNhM9MaxHJMXzXIKeD3KOEMrQzfRddIFwBitKE9rFz1JeaWLpbaqh9oplRBET5S
GdFq29gZ5bQy6nYk26c7bMyT1pDlqbA8ZVplolDqnVpM8tSOGCXcQs/lXSgldByeENFK0p620Yog
bu5iI2H+YOGX3Ay6DPRNafH/1EXmz1MvHLpKuDdHAKiC3NqViWao33WBfy5RlUPEX1+ia9IL2Z+d
mviq3y9SShAkZxOuKhbC6mzY+n25jMGcdQoHI6nyN+Yi898uUuvf/D/7YzjkM3rgR7KpCYYcZ7ll
WlzbaAd/7yL97+Wyo8NDA646w8bJ9P2i6MQp8aSh8awzy7W935Rddmp6fZTLKO2KguLKsJ02dl/X
1JCm/vCYO3NnVA4XhMxdFLwMRn1H8+boBnUWL/um3dAq4iKVIR6qmU4VCGy13IneDXy6PEuBmWDq
om6PUjwiiA1SpvJCzeMtgbsnuDRafG1IvN0Rhto6/cBn3Zt5QTVLy1CBIZXZPcanknCX4r+MWCcu
nheE8hIko3UxMxs9VLCANRYSO3rumvhTsntJ/evaY5ToV/WgeQ1dwnUQPrbMylTrxv1TrDsB8cI4
34ZBFI1MydWJntB935q3pi9GEiPZozrNph4yM3lQfOizv10GwNYaWsYqjDdw1t+DuS+xUsRZtjqW
9eGxDUJzaXBmUzrFVVKe0v5s6xZFobn22GM2zSwBFCx4wkVsI+XGGG3Nu9jub+CNsbtWwi8wx+7T
VnyqIgpXdcqLYtrN1TJixlNs1due70/gvYhfR4OCx7gPt+qEjFrOania2Pdc8vo6z3DsZHTxLoZI
3+JrWWRdV7mwjndGYFC/lWKgoilzgtcZZys9Kql1Vce9UehXT2/T5WQEmN6Fvs1jtGDdjvulMw76
buw0dPxW/aLmjmu3dUrPrelhma43aea8+UF+wBlzqA3W6qFNdsqYnDvLI0JEAzsEIuWL6UzrRB12
lFCc/QrfIelJt6gmuU2zubbGK742OeIpJiugQ0r60QfOQHsObCfHBJTkdNZWzqdzPl5XPNvNorFx
GZmRwtHOuyQOmw4fOqcfaLdeoSArMfQu1KEyl+Qh6zlh6QZm/txGOqhtv9k3vINN3a6x4IWbwSQp
IdUS714mdmk33gyl+aTVzdlpwnsYdPEyVOvH1A9u5x5PzNjtRvOlsmOuMhZdUN2OlndP/Os6lS2X
CHYxF+eSv3DCcHS1yru03rQdE0+hekn5qEolcFVRxJvRZI6cNCdZ9i01S75ZU8WkCpfa0mmPC+km
onl2ndtmvyzaDJxXB1SvFP2R1MEXeuKwHtm0jtThSUYFDU2qdaBZbbZaUkU54u3QuABcoUVvlVr0
69FpbpxKPHdKALaLT9YiGlO5DFrjazq20yIu8tt2KpZNa+FpoPnNsuaG5yzHsxx3Dzo59a0i+HR6
86mrTsLPZNQn5lfr2ezNO501w67Lsdollb5DyTFcQJLHoCM+KgF9LtVUiHVfRjehL6lgiW/TpDv7
kIHYy1j4V6N4FabORfezci0Tjvy4ClkeVcO4KDN532v0XamV+tXTxatqJB9kiHZlbzCK+3hCPUX/
FLXyWEeWs0zT9DEFmL/SnfZuHBttE8r0JR8FVLV8xLLHzh8/nCUGeTUiu7Awl0DpGoPyHX8sLF6T
0o4ZRdya5UlCQ1pNMQJIN71Xhv5S2o6xdVSsA4VjXaa2y1y7gRYmKuKf5JAwzgUj5jOP57vV3AVZ
Qz4M8hHEsnxctFYcca81Xgsp7pqUWt2eMs01w1DvVi1bnqgoMuC26rkjEbFi8fLZTQxNmcnhL9I7
t/NyaxvHmbPsFJEsnBZ/WorxDNp0/8H2K11qNY0tqteb53AwQwgg5cBWUg9cQy9ve7A3+9EmB6NR
6RqH2cD7FMLvNUY3NKMRDkFQnFKr342p9wr+DceQgk0Sb5W/GAw+rUUVfUgrQyjxomllZt7aF8a4
lVlV7vJCrGNCM25gyWRt22gz3A+nTRaVr5Vt0kmskNDDwcip+hoolGbjjHVgxs6GxiZ11oOS4VqB
xX2VmV6srVLbQYE/RlZI0ieN7A1SFoxpEudLrxvHfdC2X2LQyuugaIy9XhiEcsg44FPws22QZZj/
+pT3ph+VNY5Lih2ZrhY+xccLs+l2NPmyINNsbCImZbKJs/ec6aCEU0qVMRKEF09XGlhdIuF3tmLJ
41QjxgQtCSKO6JeiDe4z0Hg8ELVkDb45XLSBUoERaz5kScdcColuM9jsmEeNEjiQwtiSk+DShKzE
vUl14zzsoI9NB+xeR6DULpaVS0cx2cqIShXnE4pYaFVnx4w+bEJfSe2hGVq4oqVUTIjeJgRge1xR
1cVmaCpZAav9o9bGb3msXJIqvIshUC9VFiGrqMIHXYniM8FN46eqWDeGwAsWCr4l+WK3T9SXAoTV
omvDs+e0BJI0tXP7soL35sWHzMZbFg2R/whcEZC09yLROxY6ly4F51+rtHkBqUMTQnMuvi0sm/TD
w629ols7phE7eWxzm3V8yDpSV5QrSELVVZLwpFEER+Q+PiQVk4jgmWoqHTcwTfsc7Jr8pXe0vTHF
KTzuMUHhx46V2Rb+lI4YpzOdmNeYphCvxZI3dF/W2sFM0i9KYX/tBxQeiciZlZBD6uiT/fy6bvNm
U9MFXhf8aZ8rj2qkHif/kEbICa1FPid+c9roPai5+XZ0BEaVtSNSP39qYE7WstpPdY+4EvP2pIhp
EersMPF5Dj0d5UoXn4aaGwucCndh5POXuYF3KVnRKtEWgl4gkm92uGFye2UC24UDnaVMOqyVJYRB
nNdtEd7I0l54Tv8E7e8wFEMOKig6xAjLGyNtPgRJPt/C4FuQlVGtlLxQ9qgZPPAczilmoFHdZxtn
lr8PVd+jGNX0FilFeSlC50h1KUYHcmwtZysEdFNjcZ9uyOUiHekcP7Q+XSAAYMymXQqQH5dONrGD
J2Z4l3Ylv5qdYQdk7lzYSUhvH17bTFQ7ywj2/Rh9DTQzXPu9fTNq0SafNrUDBt6GQ5u52nC0lfg+
SDpcGUKkS5wqmyia8wAWg4wxvRs2INnef7dleBQ6ODjQewFvVvkGnXyuCu8ptS7Urjpw+dz7I4c5
JJZHrbAw2eMjr6uVvTX8ZKtDMIDN53q2UVwzWaUwwrNQEnCCy6c8BV2eq0ug8HW1Zy3fAzQN+87u
1nnSKeN15N3JVDNUXOGx4PUnOLb00ceEFxDqhljhalNocHZ8NLdcWStWhCkzVvp1KHJXpHHrel3+
TEaYA58N6qkbfY3W7ejBqLK7Xki8hgYZ8qh6EqFlEijW+E3DZk0+ZBdY4o1ym8sQOnjJLByIQdjg
yLe4QuJY0MDYd9oCy/PA42RkLlR5sMEllLx/83vHbN46mAGd4FhWNH8lhXBhZ567JrxxWusIt8NZ
ZIAANWd0a0ccqctlusmLd54tcCsSvO6Z/VCHodg3rfo5eV22mSKVxGRnb0XXXjCrU54b4LrjKLFg
ruld6WVfqj7dgrZRMJ7DbS1reRRlcqvHHXhO4p9mmvdb7rtHh3oeazR52EFF2LYdV3Sk8wPNii2m
gH5ZazgramAV0CM2hc6062jxa1wCNQ1u4gK8rzku+sHYmRWsBMfuzkqNOT8rmpvUjL5A4GCrqRGi
HcNz7qtnk56wJOvOQr+RqOn0mrtVpfj7Ts2f4t7fNUH40ljNQ+HkbPInFf7rZpDWHcaFJXMvHFT9
NSwowq0V7oypv5tGa9pFbfLKP/AhmNU3i1lwFTRFeOCu8CrSvHtKp84H+B4dyCHkbt1FOb2N06nv
RkKMUnsuOhVrQXzt++wtLmyCuTSapKPzkgACDY3gKe1ZU/yjuX2z1M0B778+0N+9Zc3bv5bJW/Un
lvH5S3871etEwVQaqfEgcBT/Vmv7+6le5490AVXpm2N81tf+ONVzXJcGZ31hgQmboWi/SW/y3wyF
hs6aVDXk3KH7d6Q3of3s05h3oXjW4XYLw2ShDmDwV+3N15KkMumpwz2zgNo9p7fAJQ4D6RaIINqu
9+I1OIMdRiidGGYWvKSOtU87yGxOs8mT/Gy15S4ylZtJ8Vaq4MaYRFZ+hMaa08RdPY6qeLYdns/f
2i1wE626Mb6XlXcTqSjLbInYTOWRdR18ohU4nCLw2Qm1AbnLiUXFi6SepyDsXGeixjSAwb3EMMcR
VW2odYUJO0VU+Gg+RySboj+P85ujmvmWdU7qKh4ZihFY+YhwuJRObbrBQF1i16kPnda4VjSuer2h
GgGX0VKCVWBpa35Ifk+ehnxf+ldTligsOtUBnxMmoQ8ndOzV6MHWaVOwn4Tmdxz4vB1ZX3AilHfk
dAFveGgnB9NU+qMXElDxqGkCzB09UC3JwyppyF770U1OKolZGWF8YoiS7X0VlnKZxOWDtPybotT6
BfayoxiIoxml1y5gybZupiRQeoQKXhcc+yIu2xNgIrzptF+sCbduWC7tzUx/TKPu1olgeXs85+DL
alvLKCOcWOGXTjNOfjadJx2rXWtBAwLd/Zw0ytJrc5bbYXFsA/aShao7SxrLyBcPzZJiDrqjcgxP
BfspN9Elnh55jT28z0YPvFqnbLEUqb3ulfyj1NlV6WpN9qhfiVLZ5Gp6TNPwRkvag2HADqAa51B2
fGa8tr6UIQsGO+alUTuKaQW+8jpjRorQikrjRMFsvG6geixL7n1bEvNuXCi4iZVLPOT1aaIFhHcv
JKtgy1ua4k9OkeSrauyGpUjhousxvmyD3Q5Gw6ZeRTE72qT3IGLX94MzBOsuyk6+8F7HEop0otiA
+Q3pmo36KMryNTIARGtJ5I4lyq0d+ldsbEdtSN3JH+hyc75Usi8AtNa8hrXc+SV8nUmax6atb8Jv
bfP5t+b5cUhgXnNSd+LiMfY4YHcTVOZwEqesjYt9RDN5Hqu3jVl9sQtacmguL2gw9zPpFjWxbJrN
K1U/5DSdh3m+H6L6jFh96eYq9LIO2k0y16NLetInqRDTjvCObcJvPeqCVMWdLqeTX1bIwgmgfT+k
SqM3JD9XbIqk2vTWVK8IvW37ybhU5kutaAB6W+chc7RFEsHm1TmfpI256wPQQsV0aSfa2LoQDKHZ
XonHLCpSbjrQefJ7CHxe6V2MujkCa2W3ZTeHvA1vLc1aeqN/NxVYC2XVggMdsKPqFZQqAUdm4/ga
bjdg3msjlpvED/1tSfHQQtcDG9T0bApt+eRkBQvwTGNvmAKQswfl2RLZ17xSv9BCEy9JxD9OmX80
tRiXXsnsYs6OebXyLKbV4t1uFSaIODiFA3HRUVUvKbEZTkaldgMc6pNVwbBSp/6zref9pBxujX4s
dkbWvWp5ui4FCYnQOtlJuXbqlDjBwPVii1psKBt7ygZME3GfrQt73HDgdtWiujhhclBltJ5qspZm
6Z0jEm8uRTlbSl6dPfUGD3brYRNlyDGgD2iqqW/QnWp3KjXqj4ZoWJWKfqJOJr9YuXNrjvV2SES4
zJKO5T6N0PpcARECRQNJ3rj8riGbzFqAWy3fgpIRsBnJtcokWWGX+Oo7HyHpwroxbmNeE54D6HZ+
lizgXVyAY4ET52TidTHgZQ9eUDf14ZJV3iYoS4u1YcLBu1G+hHw72yaoZs6EbNMHw6MDKWvD7iAU
LVvxho5bUx9uhwx6c4qYhtimua0NF2lA2AHeDP+BMdRT3NgmL+qwnUeCe1XriRRCWiFjCsxf8MCV
oLzTQ28jSQYu/UC2RGyxADh+/RHjWl4qNU0VJhplV5YnejErPjXFXWsOR6HW0VIxyk0LoMqMi3Of
Q4QttP7Gb4ZbdcxXbOjHNbu0Q146WwVS1H0wje0agspn7ICmrC3rigYaraZkMv5xlv0nosBk8dfz
1Cb5zP5kianyRT9MUrYJdwcOITeQb5uOHyYph6A9/5ER0LGd/TFJYUVTaUb93Vb2RzzBcIgnQJ1l
7ciKU8On+ncmKU3ynX7eYgoTrUjyPW2bAsaZAvQThnOsLX1obedGTyvIVqY2FZvqW6DKULJAh56e
1t4rNo3qanyLXzFCZcuJSJaMnGOVOTEDR/we460YEV86vfHXoxAs0wsjGebwGVT7wShXbedckf2/
wsIKlwSgkBf0jQKoyq9DtN9yowKwsgFZDYWyVcLk3awgp1lRfvSj/hrP7CvZVC76+dZSaRZmfUB6
t1/CT1O4lscNMYyzjqIU6hC1+pmt1arjdpxpW5mivUfgtwYqtHaVbT0XgLmmqv/gfHkiDpeYMwJO
vjhwTZqZ54XP6bMa7Zkfj/ThEIomBFQyKiprXNDZUu+0LTU4h24mhfUzMyw2lIr8oJXtVMPmt2WW
cut8emIDc7Jn8lg/M8iqmUams2IJBKw/Aw5BNRPLtMq3VhEQMxuYGba8zi1nvpkG6CwFeNZGESpq
fjP8H3vvsRw30kVbv8sd/1DAm8GdFFDe0ItmgqAoEd6bBPD0d4H9qZuqVpPR8U97KgWJIgrIPHnO
3mvPJDQp841VNtPRoEFuxcxLcyLgWwqCck8Weg/NDK5aORPWmCVkVI8OivHxKjOSbQMwaIFp6fuY
YTmXZ1JbXfjoyRBha8H4jKFSgIdUXltV2ilg3kQ7HuKZ++bPBLj+jQU3U+EA61JQzKS4AWTcBDou
k3LxwPe5b42nKTOPzLRdwCcgx+IdsWQ3YmbQ1fgyGw/ddRUeJDXvaAtECYb+Mk2LEDxJmzhgTwLD
2qaNrXOC7sN1ZNuo8PFqOkcVj9eOMNp+TVpcseW+UHPrc3oNQdrOjQ99zXHTURlQfRWMV3qDvCKK
Sj31UoIR1gr+aKSKea0erDTt7u3CtDcE/ckP/x0v346X80Hsn5fDTZdBafzesvrlbdSO2+//9//8
sYzOP/fniqh9mSfCs4EYsPkbS+TPFVH/wlqoGMxKtdkPzAHyf2dLXFlzQiZ+ZA25Og5D1LH/O1tC
cyWgU9VxP/2cM/8LWce5yla3VY0g3VlBgnUM8/Ov62HbQdqzCkNcdvIuiLFMXhfN+t1Nufy7yv8P
19evknUZvQiJsiAUTNTxs7Tk5fkazn7DHfv/FKRUcZw05aUm8EY1C91ocEOEmpprl/DRK97/whyS
q6mITMINwtB6YIVQkytbNkY35LCm7lSzdJuh2FbhcIj8dGlq0XKCrL3o2N3HMb30DclLC2k7NpQD
VXHTyhhDxhBOSGVdD1Gz8ccK3EA2rPKoVTxDr3ZSSQK9nXxLx+RZAvLZleUW2OEDclLao1FIrdEs
bRUSfQjxWBnqV3rF1N6R8FJWLAQjOgcufBmL1hCbqqdg66z4jvzDSmtc/ryHwJS3soNlRVPKXTXk
P9LGIVd4oEIbsx9+CdfIzkryueQBNGlTrzDHHnzyszw7n/VngsqstORvQ5PvNB2aiaLnt70S7HxV
vasH3m41au+TbGxImRIvjanvRr3OV1VcHvNwEJ5TWZpnRL7h+kV9U0dUU5ZO4mUwascsQBndNtpV
KjAIT333IMXaahJU0uzfIEHV9jW2yMaxI7UAKVdc5oW+t0StI7qrOJ4lFWFAMvRXZjGBO8QdJPiS
9oPSEy+kl9O9khVMoxlEF510bQgJRaea3oqMNBPHTh6lqtYXqii3jtLGp7QViovqdgfqg9hShZw0
WgWHoH3R4mLldPTaM6G6+lDR8U7ze38CoOtXNgO8QNnVNgnYbW+tJ8t4KSO0lmKsgerpL/Zc79tx
9GpnVOqBbk9e1Tq3SKpf9Ui4chX9iCqGrkoTb0KVyE9lsN0iyC57tfmmxLHs1jpjdmx82zRKmLD2
7SqyZz22hjtHb1oOzZLsuEbeXaIjvOuDDtpoCiVfC+tZC3ATDC2B31bQubmPWhSt0xIc+HKaV2fH
jm9U3MAoMGkxO/19ItMBjUbzNY6dJ45DM/kKP5E2JCCrfNA+eQaSIoij0mVduQvG6ibXjZLkT+0i
SC1wG0UoeFiHpz4mEq0UFcgywf2wrOkxMX28ZezfnKF/6Ar5X30t3yVBSt8XmNYg2RFK0pZ5oPTa
SvYjsFokhEnoWpqCymPw0bYCajWJeG+1MdmWb64kQtMrf1NyNxzsjdWtEYhpQV3BU+6kyV0ia87W
mIhEMDVxW1Uqe1D5I0NPH83EjbQovyttRVeAoR+KTKaTiQA4UEfxva63Xmr6xDOZX+c8t/UYjvEh
I1Q2kqTruoududJIK3CkGe79HhCeZA2FVztl4TYpSWCMyIhjKnF8aUcdWAK1mEQd1rgl7+aMXTs1
hfUQ2sYPQm6qBctahcpAIYmoBPY87ilnn6Wh24s2gmnXPQadDhls0q7rXFlCgrsuFG0rFOkabqtn
SsFXNTEfG9tAKSOTDRZcYhO6HLPwODXtihQtl3jL7zS/U3r8sZc0bbIER+omENqspgY4wtS0LvuT
hfu7rpIUecXkoToRqG4Ye8S2xOxbuhjb+msWEejnq82PhtBStRrupeaH0fEk9qa10vTYylwfuzny
dl9QxMbdKElLejbWVyvoB5o1terGAb1Ewy7b8pRo2kNW6MDeJpI/+zyQaRGybi2SQi/HRQYIe90S
MeDaKXWZrWVfk6pZ1a14ECL92lTSI7p57UrujOmSDa9a1Wn1XKngUmrt++DbF9U0npzUCWYSLq4L
ZqheVPUkR8Q0D+gKOLd0pMZjkIU3URB8Q70huSLp0n1N451is8WMljO319vwMQdaI4nwNorgMzma
tOv65qFTiomxrZat/NlgSGRbA2GXvcd1EtaATkoJ9OvK6UJqbenWjBmBj6MjlkFNYipveXNP/lbn
6a2VbXibba9KW083+35DE1KsmfSRM5gV41rkhH/1KUSMoEUBwUjT2IjUUTbUspcQI68bPZyb/eu4
nwtUySeuF03OZCq3lNoPtTLcBEZtbjH/PhTIGGEfTf4ncTcUD+9OOrMZTcZzac877hxtMR/S3m+6
ZtqV2Kqr7rKwodIpF7F9a/KpDU4L8WemtF+riPlanPTocyt4z8nitOZT17sNvmmKoVXpK17asLmS
r9VItNgnvrLPLjH//7tLADxJU9Gl4rLkxSQ3ehH2T3p583Gp8tuLOBw0LWorhc7XrxdpwiQZ4lyI
S62+rYrDIJFmu/34En//WrhV7y4xexXf/R0tE/FA0QdxSWRdVq2mDAyLuMit53j85EqzQerXquvX
K82f5N2V0rA3MhPk5GVFlqSSI/1Rd13GIGrZZ7spm/6YMf2jJ//vJkvFBi1gAN7VNBg688d5dznA
SiTmtYrgBPSg0LWyzNsg3I/Zf2eN/50ZPhxlbbPyRx09p785a7ybYykcKGYnL7aOtw4L7+HPs4Zi
flGARlgsBtpMMuanfs6xOKBAJmT+BZr4f9Ovn3MsFUk6iCJLp3PjoF35V+pU1K6/PJIGmlkDDTsz
MVal+dhxtk5YYVXng1SNx0FDMblSEsZeCKRBLLzK05QblFokpLO7a6jbpk1hJjRlKZdjVjBTT659
lZmzjWtkUyu9NS40U30h4bRxC8d/hudww9wjgy2Gp7+aTHWlGbTEOUg1x8I0X8PSZsfNVGCGOckC
SInA2DRQaVtTWIBPFeMASS3bSnnaUu6juRrdwUSBGsdBfSqBQ7GbOAd0gMkeJ0buNaUYVxAkIMBV
8NpSWAkuaAb65KhwT3o/7hIDpl/R+vssSpNVIjlMqGku2dTWJqyxBPfe4FihB76Q6TA1nqskVulV
AzsiTESs+7r0mLJ6l+aQ76ywu1XMUKbYQW+ArqF0A2eUTnVsvoicjb4qLGVdGPHrFMdPiBdwAem9
kjEdhCtU6vF4h2bHR2QX0m3V6CiE8Y82mNRHyl70jChsV72ZkhxJtC1BBAUj+IB0qT12KAVEoizt
9HKQD0aUt+sIbMMiAHl3qOm02vBxbzgJMWsYb6USEHOh51Dw7OLKMhFfgZoADCTrJuUpp7gpQUei
y4IeFcr7gxJ2NMTHOjQe+zJAOCpryb71R6Vdk1swUiZPdW3WFyHfXU+kRnQcFWr2hRQo81wm5jfR
zXck4Du2U6GepXNibMt2VG8ltUujLckX067uc+ciwjZFmTfZCDzoQ2v+hYPWA61F4rz2ipMcVGSv
SpBNN3rPPu29rf7/KetnROo/d0q2+fgbXf38Mz+7JIrxxYTBCtOFZKFfdfUKqeGOjNuYVBlLmSNq
/ly5LJY72syWaWnsOTR0/+ySaPhisMMwLKerQYvl3/aNzyfwMBIcbf4MIGM1nO1nmylpyKUS9FZ7
yhIzXBWz52QoMs6SV6AuJqRMkRP6k7nUw14OcVH1iVgaSotNhekOIayuPkZMmisbLOkFblYD+Y/d
CabYC2UwKzIRjDTU1mBlUPAT6ppGsJokP+5VhuNOkT9Ntdnpl1bXOXXuWSRB6PvBMATgR0Wq4ubZ
mmCIT7jlAI8jcRrq3mk4iIf1Om5K5xhWcrgNiM9ZVELod1XBGNrGklZ1BcE4ehLTWqhEvydDbCRk
NMpPVpp01+CxxDc5N4wS03AYfOv1elilDfNh5mAFR9mCsZhk6CsMpCGibYWpuS208UqxVH+L7E4c
k9wSJ8Ji5/lW+VoIJP0IutT6maCGxk1b9F5uiGpwGxpxe6uKCn1YmBsvIG+ddR+mgg4AUB7mwetU
0rVre5LT5TAr49NOHnR0m3SDjbZFbm3K46nGW71KwBCt9FJBptQ0mIppv4DYm/p2U/kyjjalhMLj
OKH6pE3MRcNpisGhq536LeGMuO+qJtiOtG4fNKMhaVhVUW+WHFwmO+suui554Zbm28oxlRulARrr
xtCXjrpA2mpYRXgaIcF5wWhEJyNqmrVDMsoynhz7NFWcFLIq50Qygs8LaUK/IAtLD5gMm69dVnSw
tOMc+3qkHjVNSZGqh02CmNunrTJU5hUNAWnF2tdcapFWeii1ij1iTwbTTbJDMzlBZZHsVWWMw6vQ
w3Rjl1mwG4pI57PFlnSMfFMGk9RAG2I6S+uqZQmvRjtflwFqch339mIwaiq4iVy0XVpL5lfaGve4
19WDKtnlBR/fJ3Qalk5TqOgh6lq+GKcQsgzYtW0QoRNEMBFz3C7H67C2hdc3olqOUTcsg37yV82b
Ueu/lfUPidOHPeg/JE6L5/rb70VO7xrRAB9AY+sM3nTHmrHWfxWHqvwFUyHBFKqhglp4XxwaXzjU
GQ6LqfNzYf5ZHFI3mqpJi1qjhMJe+K+Kw7n0++u0MtsLZ3OjipSKRdYxtbMesRYywW3HTD+F5L03
p2F4fLfh/K4LPffgz66ANwvOjEaaLdYoiwr4/QGl8xu99Y2hO3WTsWTO/DqWOlkK8TUP+2tL8HjN
5McD+E5emZRvVcvZ1FW87CxWEVMyizWg7HVu1RupkW9jYg14vr9LqTInUx46xncuzRyxmML0AmSi
kRy0vq3oyWUA9glK7LE8qZprhFU2gtQep2YhZGM7hI3/KgyZtx2bogeFzCLYIEq/V2rqA68A+qM3
FIy1HEgPMcIK5Cj6SxcO2apVrMAF+VzNJMs3pMKFVVoSqqz6wakD3I/qbBzXdXEZD5Ramlq0K4Ve
/GKsc9Bn0VOiqgfqdZbCbDyIAPNRmhebPG8nFusK4H26hpp5JGhKw3CdP0myYL/Sh9cskS7aYVb+
ZNO06nTbC8r2xopRWcqoLkBpJbK0yctu19Ljdo1uvBoSewdHGMfUVMNlS3aVZT37Si/ww8ebAGRm
l0TPbePjXLd0ZgT2hpryQiLj2sgFEGH1sUmCHVJWFlDjoOcV5Ee1P6ba5JmZtqzLamMSOE7h6XyN
o4mAtyS9rH0S0ZoJc1uE1r1SW3oH8U6X9Ns2VZIZ6pnQYdNvIJoWYN4GUoLsaDvSUWS1pH3ox+aa
DjEh8jPVTHeWArYb38VMQGz7VRjkO469rqP393qh4e0wTmZDA7CdLpJIvw4zIto7P1tben8MRb0t
RsE2HKNEhh6WOWID+uKAi/bGRKayaOP0HnHyVzLL7k2/WxU1/M/JWElD/YQjCt5H66wlrXks+OPV
MRtAIE/fobHPOiAX0renJcMBB7pN1AdQVH1EH9jaTGJ1y18EpvXEW7CKo/gx8NG2Dw2BYFLX8dhU
r2MRb+zZ96aVT10tP0qSfNNYs9DYj71+cFzZSL9NiX+VEN8Etjk44EElxhyj2kKXLNQXjlthkACE
DmNZzrJvjgKLT2Iyu7Rpyh/teYgRkcbiSSVKX8O8iR39oSubAHAFGj6gq7w9sbiRlXgvdUjR1YoY
KAPkBEEexvVgA5HtRvqBsA5mujrIVictsRbokb8UjXkKWtVcRob5VTbtgNGHTya306Jax85MtlSJ
xsXL6t7H/DhKWIfjqI9OQx2x/5Wm7DncCtr8JaxWCYlWzIzWw39fU2hI8rKdwH7nrQ8dzsYGgdIK
qifpbXY4qpz/6j1AlotSL5tt3jHfUTSmPopaNRtaJfEyiLqDSQW5aJIyXyuTsfaHCVHkoCqLTk/L
ZdHOiSIcEy+sVE7Jh5GaKzSCgev75YsxjV9rX3u2kmrD+naMEfu7jiJJ3phKBz9RZVwm2PYS0xig
1xbZTWF00sx199P7LsmvRY90gDzJCx1KCyuLi3XCo9ruvKLM91ZlsSCiGVesOW2LWU6JaYY1ahfQ
109RM8SE35DacUhjCYlTeJRT+T6p0T0xNhQOhIF8SJ702DfgurewZn1zr7Qy3jE9sr6VQlJdwghm
o2QlsttEycSKvixktCJytQlNUWhPCeO8qD5OdnLS1BI7dXOlVCYVIp1cKII5ukjDY8nbqorfLQPN
rLfp2N+ZUnnLkR6s7qJLvabuwuUocBax5nTAac3iKZ+nN0MkvaK5k8kEREHL5XSvxpF1gfyTHKUx
sejxxmG/zlHGrln6w3u/4gocHm/zTIuoAWVn1411vENZd8ox8buppdlbQiHDhV5Yt0ZV4CXRCWti
xsWoZNR9n8ja6tb0x1s7N6YZXYdZriualdEFysISw6qlVsPNjtC+GCtiKfnBBUGK3UMdpfZqsMcI
o1JEwhnM4BYNPoTxRJQrzc5qb8yKR7Mvt7mIVoM1LruGVKnR2iXVeCeH8bJHabAoyvCuS1UQxZWz
H8ah3xZSXHuFn0JBwn+PblR+pF+EeW/Qq4fOxMdaFvQGk5AH3SKaj5mT9qDOwApfNYYVOjyHSYL8
GdHz186QTX+JCgN/j+ZYYKcU86xbrWYZDaMgzk8tljhjmLaGKa5E3aw+rgLeOrh/lRk/r4MICDu2
xmt/XgS01kRtHuanLE2PpGDcsSpd2ln2xHJZMzJ0+ALGdNMPJWFIyaZRQyyNKu2afM9KdTD8Bn1M
ckW+wrVZyUst7Fww3IRH+T+KzoS6yCugT/bJlIPnjz/6b+8QFAeLfGKDo8yZcsnIuiJqnSQ/iQxr
yngrx5kbFn8kyfxjE9c5axqjAkC4BVEVcgn3iAf91yKpQdjK4aXrT2UQNoAx9a1WsDDIPqOeuO8R
Dkn9g4Rg94rQcW905K2whb4oxpKFSqOHFGf0/qfuqgs15yZnV4K0fZJkZuQ66CnXIHVhYRTBKYLg
PPgo/oTKe2NmgJ9Gx5iuDSV9TnBQEl4QrSdB3EWjmMuQyesyabUXqVZXM+CB7L4KZwpcDLeoNHJE
8X6wFVHahOa2mtQfkQ7BkUN2N/vUBys9jug0mYGOxGAqIj7KIdynaehCLCPIOkMnRjUcBV/9Tslu
K0FWkqMgR83mdCOzbDcYpEgSZItTZpl6DBIHyfUFLc+coCJG4IqWHnz5udNXHXIe1sVHW6IjZyHm
HmP9MdXqcJmXOUp6E5goaqlJp/QYeM08BsOFN0jZBuYTpiBl2HVy/5xEaviCfHYtm1UGAyY8qsXE
OLCpVpFG4EeHQjMzzfTkEDaqmNOwr6zm+PEzR2r0L0Uz7wvPAy+kzeNgy4qDkeGXopno7YKsLQPq
h6I+a06Dirrs05MpMVpjPX1CtIkvgB6pYmI6jaAisaIeuSsMgMPE2qhBc2xR5IpJPRqF/aDpebhq
MqNadZ2M/dpQwRIxVV/gwrKXcqFnG/jXpYetGrRuTUSLzkIkZwWZuEZ1E2SkwClhU7AbdM2ipZWX
l/iHs+mlLsxnh5hjt1cKy60z9c5UR2pncBwaeg8TZbdbG1KCqMJ8iG2Tpqj63bSGeUTOMgCm3MyH
W9+JDxY48arQbrCl8oTgCh7VG6OHEBWHN5zfrzPLWZtj+2BjywKBUMhLGjjUglW/bDrRk4FHi0OL
STn1ccaC1XqWeCbc0tEeFU16UMK+QoEAKzS0ZKCr0kC4ZoFQoF7Lcrx1OD6rhbVgN/L0hCQz2xZ7
C6WeAIbHNg9tPG1vYdyfHHsgvGt81oT8Umn1c26ZS4hex4S+MQ2oiwKpjJWbK1Ho+HNJVYty1PVO
dIUeP9mO9rQsmnFppj5wdQoaAMCcS3gZe8m5ElX7GlmST1dWdvUuXtEmwHnRhJ6Kr1VRzIOJdjfS
Kr4luqVLBphYHahQkw6pmwIvQBH3RdGSswl1ONQx6xcrNZH2Gbt4KIKNraT0epsVAr3c2erY4GeB
QeqLFRDpZV5nJfPaitw1wCz0y/YTZDTLQRgiFLCtjcyiO0HxixV7YQCHw3O3CfJ2H4jqkNsGVW+b
ShdpSSjAmFo7PQAaBgMB+zGoAK2MFFcQ7RuW4ig1nBJSABkECxdwkl1fwO8kQk1Qx5yQC5mY8vWN
b/X3pUw+WSYfTQMFB0nVhzgUTJh93993Khi9xlAUJJx+vhY9UHXqhk0x4lqBJrupe6oQq5gHYz4T
OL9WPtnaPnlTtfn4+27+pobOGDtl0p2g8aFcPGLldgd05r64SOqjwonl47XhbJB5vjJoZzupCgqR
0wUrQ1H8UKzv/XCNSDYPHoS++fhCMzjl3cH9jzXI1A1dBUVpWbpxNpUVTdtXsdwPp0kBUIi2p5ld
t7dGExTbsJB45giTLMtIhjQtK0d7hvGbMTLZaTb1CX6v2yjSqy7bV0OuAXfTuq9SVFwUsnWTUr5x
6kEGpc6+P+IsEPRmbfRE7Oa9RNf3OuhwMhpEvqyRf+wNBLIUFstRkenp+v46bzXr3lGdm3JCLa8Z
u05rt5Gm7oFPbo3SuRAJTgy2bUsiMUjFNAFxGIi/S3TBfVbWyyj1t6IkKzdFAtYa2fMkj4abiuCx
Gpz6Xp2DOtRGCz65q7/2W/5+U8/m0OSJ5FHt28PJHp7C6dto7z7+1j77/Wcbhyyl1MhBMhIHdlPG
wAO1u48v8Ld6iJ3p3VNhnj1/mZklcgIg7mSolxF6Xm6THI7uxxc5G2q/PeSMPQGkKqZi2ObZozdY
jYAcwV8BQFBtX1qRUZPckbf9ybeh/vqMv7W/NMtCs03zi9JUObvQGEe5CKaSeIuF8sKm5t2mK9+T
lv0icu8X+eJ+a7r94dt15IZfh+Vzuhy/8UY3m8+QzOrcZ/ulQD7b8M8KQIcJJ51ulpF21XuyKy+H
m26dXRHNtkRrXK+UNfd5hS1uQXD80vHKfqmf8pePb/ubIvT8U7z7co2zcUvqN0R91Nz3h2GrLq0F
FulLa3HRQPb21veGezC9bO2cwtWwyW+MzS3EhvWwYd1bTOvCWTQerTPP8Ugd2eTr5iLEtATw+Gux
6E6yi3Z+62yLPVPku2x18/FHn20Mf7uB7z/62Q2U1CZKS8LLT8YCROeq+VGuylvFY0rp+V7oRct8
le2K9eXLYdltAR8MbrxjPrqDgemy+SyR43/33a8ffyr11+bn315382x3QCbV15bJpwq3gNXcaZOt
/VvgholbwN9Y+IvaHRfp2j5VG/WJRtry4+v//mX96z06W21YaqSRacBwkqdiaQmxJ+sd4Any14+v
M68qf39u/rrO2apjR+Bs+ykdT9TUi168yMNGmN9GbVnJQFnL1cdX+/1X/efVzg+TEjgjzaji7hRa
CSe/6zK4+v93gbMznzbYqWliKj8lxl6N6QM6lvfxFT75Yt6of++qBjJb7dwaedEKhJBZsipV0uTs
T76Vz+7T2eLWKGkT91DwsTrwrUyp6wzxJwv1Z3/H2QPWFVPT5U02ngQ20shkTDu4+Aw/vlmfPF3W
2apk+oE00pxjNxjg0TqMedP2QtM610J/HQv11OOi/PiSv/27ZlM6fEeN2ffZJW0gdH4Ztd1Jh7fC
YFMLafKtP77Gb7+ed9c4e2nSwGkkEoSGE/F+9O+vsuyTrsJnFzhbEqckG5BwV/1JZtGmGQ3g8JPb
9LY/fvTiz9vau+c4jBj6+CnPMWeDReUCedgkR44I7o4p6zK4YMC+//iunWW5/1xS/3z736xm7y6p
0P9jwB+yRz3QGM5ZVRHVLEA3PyuHadsvLkkd5j8WxhJE08K+khbX7XLe1S8fq0ttx6md6Ceithcb
4Mnrzz7ebzfy96XL+ZMT1UJWfF465WLeyKVFs071ba64i2Ste/f5Yicvxv2r/I3DWX037hHMf7J6
ER308Wp89r33UmOGFfE7p9brvclDhqiS97ZPvWvnZB60dec9qit/kdOxXdVr7HCu9MkK/dlHOKeW
otyWdLCi7YmAxgVoq2kRfzdWimftux/DplxmB2uNkvg1eNTcYZ1cENj445Pn5Pdb75/Pybk4NiEA
mlw6Hs16NazQlS2iuarbJu5tvx22W4Bdi+kEn+ReXhVetirX1iV4Ga9bhlvoyE//S0X4xxbf28Hs
b6/KX6+7cVYK2BIIMY7K3ala6muTHD9vWE2r6RDtlcVLsPVXiWtvydJbIIB1rbslTCK+onadrG4i
8hugCS/f7tB/oiiFhfCfRVH72f/0Gz0nP/SnKsr5gs/LAP2rmKryJn36qedkZM8pAScrqinUTewb
P+Wc5hcOLDTsaKhzYJmxvz+tY2+iKFRRloo+1EIM+q/MtG+94L8epPnMwuQfEqqDbA8Min625iq+
1hIWZBknUuW1+g7mJomMbj5mihcSe0gSAx7Q6NjYifZQYvDC8yrSK1nSXAegXwaIbGgjt7Vkn06u
bTZkyBc1y4TVQ7nvjAZ+b9P4O+z9IsSYUUzJVQFVtIQuChH9aRBMc+nyn0Yzrzx9RpECAQALWYXf
6PKYIC0AlqJ6DeEFSCQCd2ucWEQaq8noCTinoeI/oOOBfFrIMVC39I2ImhD37mYzJrU3aiCJXshv
Nd2iG9v8qEujuRnh7kfMHAHWp2IptySB+XlffqO1/RT00EVaM/OJnM5XzYDBqMjiTRVLmyjC4jLU
+TdZq2O0TL5GDzi7iwLpRT2W+XgsdKj9bPi4myZ8Iql/q1T2VUZ/0Rn7dTxdKa15J/rmnunmUge/
5/zR7v3vRZyFgf/8It5EP+rfEoLevYm8brguCbSxcVSA1aXb8OebqHwB0IOhnfdRB/nDLvfzVXS+
WBaTFNhBjNBQ0bx7FfG1Owom9HkQpeqAtf+Nrx2Rzi9bLe8iuhlWillgjYoGqeKv9Q8w1yxUi0i+
QEXJ45hNM9LtqQi+EzI9kTC/qMmXjuag6Ug46kGU/HutWhcm4VNdVa54pK5TUqpJLHflOba6ScKH
vDbWFcQJki+OpcPT21iPWO4Z1c+ITBKwW8OC5NsAIlOD7q4c8lvc4tWic5DEVRXgHrzKjz6Z2qxT
e2OMlxlZ21OIHYHsbVUH05+Rxh0aQCfmeO5kijZNh0szJrmbmIsNCXTAv5L2ciDbO87yO2S7Byeu
HhAmEetACrgk8vuq7r4yU0bkQE547UiridxwvFHEtJIkXjrkzQsHaGfUEufiY020yB1vIxgn0miT
A6+vLZLJ6waL+EhWeSVUUJ/tiGW+SwCV+vo+JjODAl/amCJiSk7jbNNJ47rQ6U685aGb16Lsrsc2
q+9SEtPTOTrdrAisCOV7OTNIMQHxV8rDMUhKYyECVDoGCewtskkiyLq9Tja76XAUr0hrH5XvDdnt
ARnuI2wlplzo2SdboKlh7pPC2ElJftcssCSOodyZcyi8kImHl3R/1c6B8eMcHS8P4yZuxjXzg2VJ
tnzXcM+CgLh58Uf0fPKWQ98OrRIufcgD65aot2HfFhFzD72U221hs9K0FsA4BfBjjL5crpEKRDot
bLLDWuc57SsBW8hQW89M5CFbDHBXoDKqBdPBVIcdAnzELXXnmHVVxYBHe8nDumKqTJwrjtYQrTbo
OkYYnpiaF0Qv0E+S6hXIBJsCyhN6zOQaKCPyKYOJ9FSOe8jcJylUbbdVS34HhLpCCh/SQX/M7UG4
/dDflB2eRSLoI0+vjO/AGl/VcfiBRHZckMH7NTB1HgVNO9JVhnXQqPs6lyKQBK221I3+clCJF9ac
ZKOH9SORxO1Kg726NHz7kcgEJka6CZ7BEt8bWxWLPIWSO2Yt0NaoAXwbO8ExDaRT8Jj2Xh4Eu3yI
v+tD4xkZzwuoJKxvezPP13FRXvVaHC7DZLgrdYYbZhGs05CpC0F/6MXMe7/MUtiO/sJmngLv8wrv
swuIoDmI5hFdbkP4jVRgerSmyONXDXMyvUdQrAQwNCWHJkRBUQ/9gvAgIHchAMixCLYJGY+TmZ8m
cn2HvHw1Hb12UxTv8qoak/rlvwLvDz4AZdc/7yuH54Szwt/YAPzMz/pOVb/wfLJkkgeOQ34u1f/c
VbQv1HsUagScyphb+K+/dhWysVSZBZ//lN9qv5+STPuLieidfAaAdBoYzX+1q2hnR1x2lbm2ZOdi
9CvLRLqddQZwqiiaXOXGRdKnwV4Kssq/GYYkp0GoRsla6PDIRosQHkYuHgkn6VavcVLP2qNN4mP+
zkYVx5mQ8b3EqS2vhm6M0aIZGOKBo9oGGikBfW6RoKOTnNg4WvNiNqQyI90AewkQcGeyfxgxo89+
hETv+/oE4yMM9jnpwzEpxNJbHPEcTNySUKz2RBWnc2hxM8cXC2CkKXnGEw5goQbX1Rx0LM+Rx42K
XTknBbmdlJPTOD8A05Nrbl8gR9piqLyBbb6WSFGW5jjl3C/2FfnK9Ry0jNoSAlvg2iQwZ6pxF0T2
sKCvj/wn0UoU4cEjiuytZpfLWPYfYSg/o4ZQ4GhWtKVbwp6h1SMg1K15Derdui6BXJENXc3Iq6RW
YaKkpwpuKOir4FiRJ12TK92S3dTOsy2nLdypEGwMfrnL5jDqrGg3BunUMkdsqg4QKbC0lgngUask
ylqzxt1EtrVdh1fjHHYdtvG2C8CsIRmYqC4pr+do7HIOyY5Jy0aF/5gQtIHWHMmGVk+rYEwJQi3D
l2YO2x5LxfByZVyTc7ajf6StgXid8pI1Xcxh3VFdfy39UF9q9Ws3x3mbCcHeWHWwPxlA2SzlVZrD
v5m/XFRzHDjSL7JArerWnqPCJYbxZJNdpQSYOn3dY2Ji+22JFzeCHNHEHDk+5tPO/n/snddy3Mba
RV/lvABcjQxc/jOYPEMOSZGUdIMSJRI5x8bT/6ulY1vScSjf+8auMk0OA6b7C3uvTQa5i0JfydN8
MsmWDxbnGYD/j7NY7ho8vlh4Pkw1zOeWZHMyelnlThmZQV16U7hyn3XEoLeWCkQnGX1WEekoDXED
1dE2JT1dxi3eAfLUXXLVJUVcBRhYJVUlTvcy4oY848HAnVQo2koP+SIPJsVg4ecHdi8VmCW0EyAt
I7QhthieC/a+4DQIUGrjZ2/AJK4y9RtfAMOskpBgRlAjW1+DfLwKM+R/tCfxXo7iduHNcCe91N1l
mkfMEEaFFS3Q0TRTcw0beGU26t5Oau02jdDrurOoNiZP26q1G6QmmS6Bx5jJfMDcb6/QqyVHz5uX
nTva0wZGc492Boy9GMctArrPnohuYW/jTTb0izkAt3N9/w5+UhR0eXrTODXCZ/0ZK4t8aHUt+1Dq
8AaNhggiE9+UHrb1xut5IFvHzMDhspyxSEbjtjGxYxAhDvOS58ZA+OuWxMzqE6ojmPFkwLLBcTV5
yQyA5T5YggHDGuo+/PpG0r20g7bTiTFgj9seSmcwlVb4qFGEH/Uo91A0AlWDVtx+NFwYEoRITJsh
Gp2VpRqwMnZBWcOM3KJiIgWhXxBP6Mb7tChC0HD8v1M7ebtyQXWaZchvqoKkp05LxW6E+oSkU/19
QwfxkBWeGj/e5dN0k/COWk/kT6d+exdP/NRCY8wUVSddIpMoWE5WPojbdGkRevtsf2OlsPQG/kLM
w8FPb0nfkNuiZNVmJ4gTFdeeLICTFw3RinJ9l9jZBzG2u0HrHpZsHEkxbeGZEFxb6tmlG9poKyFd
rqGH78K63jtD9xaZYRzYXB5BreW8YcEJGOhwi3dFl+ZnPx6vJb9RFNPkaBUVYqyIcDxsOM+01NvJ
qk9D6L3OlQFPsCqOqNsxcOjzzgVl/2+F8K1CYBHxVxVC173+AVFN57N+rRGwbfi+w6DH+NonKl/1
bzUC2e3qP3tswk3mOsxf/1sjwA+ipEAlaAsIQ/A1KB9+rRFoSoXr8BUpFJgU/TM2LU66nztPG74t
ogwqEktgLfmpRhgHf9aY7ky3kpmKu4nHkEYBYr3EAJXE0K/DU79kuBEk+sHsSR90xG9sO5L+UC9o
NubRWbJzB4dh2aSz0S8ESNZlRUtTmo79ecabi7W2bsNl00ctRxwutv2Mltp/80Wh9w+y6wDn4Juw
wiCUy+IHeV2pahf/HMlLjRMZC8r5bAKOuCBmRIEzRLO+KYyoXTagfSGlKV44XqpM3w0iIzawHSPL
fsx1LXa2hOEdEkPnwCnR4O9rbZT72ZRD+jaZ3ryNUhxpmyhKcfITTir2FPPRUQu9/CUBshb44Ee1
lazluNHy1sFnnHA/x7R0otAAsWABfBmVYmxZCnPX03zHHM6RtbNl/OZMGsDM0nuj0rFWfYHSyq35
GOnQSOvHAWC1W02nOAJH76lDNUrog7EvE0/daoyaXDaTBm4LkmHwwOIi0QSjNVzRukzE3mst6pAQ
ErXuKavZUkXHutXyqyXzmC5f93deXb5mLnp1MzcR38SjteuqPtmIjnDULIKvaNlDfs0E0JvGR9FX
I5ctmmbaeFpFBeeZrzH87D2zNB6LMTdBm1nk/VSRuxKO9lJDVt07Sz6suV29Xdy2b+6ErqY2KJFc
yLhdMLXEAOa94e6qquiOvi3SwNDiFJoneRNR5VTHDNldMqQEKJCyjgdvkne+H9q7ya8KRHlkhJJJ
RMZCa3mraaB7LZeWb9Mz3+dlZnDspSCNW0ugliL2AvwruYP1yCQDbAf4Vae5g7ODWTma+js3oSJZ
pN7AiJIwcDDBgfMV/rzpRpw+nTXXm1l3B7wxZAmGc5nt9RzGOelixf7fY/PrsWn85cDuUv1RTJf6
nN8OTfcXzzRc5J6GRRmmZuC/Hpqcpw6GYAHwn0Pw63n2a2OF0ZizjMbqdxPyr4emchobtocwmrOU
T3P+ybiOFu7nQxOoggUKDYyb41Lr/TQ67xbqu8EesKyY5XLGSCpYFVZe3FiBNuORXFZLiKRwpZH/
lhM3E7rVRYqiGzYD7MdV3Nsiv3hDIgrykiJeI0ISKTULeTZ8In8T9Sokw1wmOwca3Kcwbgkd0upg
EREYsVXman596KwWvI8/2s58N6QuBKJYq6KtawPeGebyGbIk/gzCZfrSJRiiG8kjGsW4At6M2yLS
um04YIUrjUtbOvmGQTcHsLgvJR2drmOCqcL6hJ3gVDbhWZ/mJzQgSoxdhau6JnyiPuRFFJJdxNma
OGlC2AFW33x2p1XiUQ8TpETVOEOVdP0rySQD4bEmOOGOCQx15IqOFaVw4R3bUn4xFDA8Gcb3/Wyb
aMFzmAvCDsD1XDuAvdvJGQk/HfyBIJmmX5vuMgdZz/ZL0EpspHJie8LYCLxqQTroDerP8Ytmzacc
OPJ6UBnRRah/mWfIUiwntilJrUiS8zXUg3PqAahUXc9gS5INm+mMkn4gX3Y0wHyZD5rFYMUd2HZm
4boAU7kKcUMfrBit5mxVN6lR3XNmrkO3PuGQWsdgaJBEsy10Mc4O+YslCWFqkQT3pliNecayAl4k
sISjFRZ430jzJV+G+ruf01WbV9nWky4JFSYsLw2cFXm16Zn2EL9W9DyUGJCzyk92pOwmTIsiBqyw
oi0faW/TH8dhZNYn2ucIm+JqQXwipf7QR/MGqzI5UjNph2V6H5XjObGJsMEnwrRpSTahLXOGY1q4
b7MwXovZv8J4dzdeY75Wud7t9Zrlil1WN7YOQiKG1FSa2aOLZatIG9wqza0W1/Xa9TmUrdxPYU2l
2zQvnkgAYp5IFyDMD6JGL0+EyW6c8oc5sw9l1BC5HcaUw15sryVqEx50I0YUiq3T9Bcu5Wl6Ll3D
DFKjf57D6Um3undWh/CcImBXxv5t2tmQqAi5tfuXmZgVoObTBM8vA8eR6UHlka9i9sMDIUjZqkp1
8lJldIg6KwKNyljNga7mRR9xZifrOWHM4aeJMk5Z+toSw+OYMKfUMysJKic+kg99FK7/qVw8hHRR
g7qw0h9QTG6T1npHcgsuv+o6CVjdc2I+WK7wAg8Q4opIMUK0rEvi1tqaqMztnOTPTBLKHe34pyJa
5j2NO+kakPVQmfrrUsvKwCzyCgV3+SEtSdWSHbPvfF68ky+AvoJD2kViaZWlf1tMRLKERm5tgP0Q
b0W2Sd7JW123XluIQquqbW5q132saF2PbWECYtTnVwKW71OsXisHlAsadYaq3SLfphHyxziSMRxG
hrWmjvVodYjnyl2sIGE+PDhhxqMjTJf2VKt4ABK5bmRlwwOP91k0f3Lint0zw9LN7PiXwW4uuma9
Zv1sBhUsbco6pDd2724XTby1k3WCVb2XS/WhdCNjg/yAgBqU3PWsnwSgyS3g8TEwBufemg3rEFFR
oRLmKNGN9KJnxREf+0726cn1jbu0hduSp4e4bx7CuHnD8NoF5dSeZRXeKt9Z7cUMsiQeSRFHzsnn
XORsJHGAMmfjVsO0S7Pquax6uXYn8nAIc1rZIR3bFJGUmIzTk98RyzxUFGVjWfPFk4wExt7k7TgD
MRiEKlEq5FJGsc0koYLT69RKXCU20YEl+WYxOWezCjzTST7LJyLQCKB5+to8mqSjUbe/xhFxaTJz
yZ4jQU101WefRLWFZLVR52GoyVqrVejaROBhYKsgNl1FsjWFex0JeqKFJHUmmjT6zfHG1rJ7ftRg
GuLbhWZ9C0bTW0cq9G3J3bPL5R7E5AxDlUjWNI/zwVJZcXX4Pnb9ZdeSIlfACcMXyMhcVxFzENMe
8VAsa6wY2ES+cSv+rZK+NZdoev6iuay6//xfGb3mr90fTKH51O+KJQSrkFfoJf+XveJTDLFdhF8L
Hvb3DtO0fgEdi0+Mc4D5sBo1/9ZhGl8ziWk+bbIsoa/8o2KJ8fh3kk41y/YEg2jOAN5zBCKqj38n
s0o9l6FM6ac3Q7FZbBdb0c5qnr/7xVy/aRb+Uw7FtcKVDXPW8H6UKn17FahUmGfZ4TIq+kkt1YQM
r+3FTm/6Kk1yTntRxitiO7x1aBrZJjW7FlyGoZ/dyCvXQx2n63wJTyND2ntRx3d5Qha8HSfnSQgm
zLpmr3VvAG6pJ4ioI6Q8RnEYRvILRn9fD/pZLNNdJ41Ls1SnuTVviVM+ijSDsziywKO48LeuuvBC
KopVYvhf9Bmsp5NxYKV9NvNuHN7Y1rVcUw6S4RYUtM/EUFJeEaIuiUV1jpO2IPOdZjfotQ67s4/Z
YR4WeuusL2FtGdZTiCFz5+a2+dEoSGXVgLvtEpHFWO5YnlLTySbDx6NDSvSID8WnTwrgAXNz7zJ/
w+coO8lAiCBDDNleHK96sza9p8VoHBi5Rr5rNbI1dno1QZVc1zqjiYbyqehluBIzcTReY2gXvn4d
qFspU6jNSit3HjOpwBmY3EJpIfXS9ZK9mVvZcQCC4l15vc78aMvI7U6GrMaKYYN5X7mtPV9jHVR6
E0mfA9lxj+BYow+Q0azn0Y2JrM4laKe+HKyDB/qmxRVtT8veY25BLMzU+Y9VRcKEQ2DzRhuI5zTq
Oca2yyXSRFg6RsMesdwN7qbnd36m6Oo+dawjZknsk5w9Y+U3yUGDi7pB04kaBYP//TIyGRQy3/iV
7t8DhtGx+pMt6kkfmFBdAOzJrGCs0KU1ybNX2OOZP90YOE2ybEjaMFhXMP2c8zk5OgsWZ5fB6g6L
k74ufbJzOjyqeE+bbueY436ySiiws9HdYYjU6cOLS1LmF1IGkZ63yZ1V2QcvHijWnXzPOyYLIlNc
O396wF49Pkbj7L0BJGaDkgXONDtvVTKwu+yCLGz0d0IbtlxfeParbONrXEwec82Z+S4+yS9d17+i
9n6VqXxC9BK05nj0YVVwgLDUXHbWLC7SGynK+j2Z5ecF3m7Uji+U3Sw6tG0+6XTpmHAH+RleOt39
51AMejA5ucmsI+KbsMcPtpO85ItjbZwu647MuKOVNi1nozAOZmRcnHrghso+1Pz5SMtg8um5XIzO
NjK8/SCWD3PYbaIiNChyGyQBEfd/VwrikaC865KRqete+Rnv8ZBj70yWiI0G1ABrFMklthyi2ULj
rs/L7oJP7hQZMw+zKmuaGUV9yATBK+TJ500kMPIZGGVnolG92iQhqHrWlp5oJPdhMKK7sqnPkJvW
IwiRYhjvYp99ilFvDEQTzJTmlSGRIGAzw/XXVtU6asVNpmUfq0z/WFOuJF1GvgxgjUG/IzeIpB9o
yDibbStdN3kjT4vrMrFilAKm4HODIXPw7cBvacPimaX1Mh29apE4ZsvySMrul0ISuKLFJH/IiLrN
ns1s1/j1Dheudr9IrfkbgSYOqP893wG/fGWdI7Dh3z+e77HUi046OZFtTWZsxtyXG5foqaAg//bc
F+YUuCORo1VcMFtaXvW66e6aJhPvvMXLV9U83w+qtZnDIPPdZzH3uyZ23sosjQLK/3YTpcTusoPa
VgvPdB4mRFva3RpGBmm3DXwt1+v35AK+kJU8rJO0ezLgFG4gvpprXYBfzsv11Ky7+aDXSEp63H16
2u4Ma7zmRrXrCveLzIsHwN/HgczMpcuPzQBwv67OgDf8XT9JYuBksjdmepNuTNZOSJ5cbKW7iHsp
6ER3b8lBX9excxQxVRIwbQEEXAcG3M6PQCqsle+wJDOkcWslS7luHAcyYZJdxnq5ibv0kE32zoZQ
HCR5cwjLDHewp7J/PNAaID3sqD7nEfGkbmncJvl0yodiz70GC7ym8qpkt63S9jZL83vwrrTc5ZgH
DoqItVkzEmvba2J2I+JZ1qot4ViWtAADzsknnwziZFQ9PQ+ox5owyxoVz7rTa5zMlo5mRwaFSd/t
W/uJc8jsqi+V755FwxgB5suXEOfyqjaaFeuKeZXlhX7QanWW9efEdd4bIt8KgfiDAMkPsjD0NYqW
DMpadGsuth4Q2aHSt1NvT8Lr8FSRwnVCZ9decuZ9h78uEn6WWFGIOMCaPdcg2w35908lQkqABtVp
QVIqGBEzPbZYl//6FZQe+ndBJV/SxAHGtp0+T0k49Z+mQqYDAtPzo+gmR16iObfJkOyT+r6dyIZq
c2wNhBelm79+Tcb0f/Oq6uf+rsAa6qyvLVPTLgxCHqABqRS28oFb8T0zcGZNiCbXvWcDpDEP40Aq
/DiTjZGXtHDCSKp12S7vK809J70l1rDWt7k/6S9ebLlBIdJHxyumACPgyc2tD/R781HPTWfgaSqr
zbC45carNZBLNSRot5TyMMyu+VKVab9l1W9ukiT5nPOsYuFx4oATWAY9sXNrFg8PkFMW1qHZI/s9
41BExAnI/gursz2X0ruubbdON3Urw073JuFIrOOpUPIJ6Y1cBrFuiOsN2slm0JzM90Zc0oAl47ox
I2dFeOSJhx5oyGSsGFsdWkvbszx/Ny9gyUV2tPuKbk+leSShCQGuT0ilHexDtqQn9udBKUN0TbnA
LxpmnLLieRQwf5K0gKc078oWnkC48AQLwAYRLAc2EFVaeGSIpV7Q5uGlVq2V7e71iomQF80PsYM7
e661d0NPWLxpYg5f3H6HzAmk6VB9cqLm0orirqkJokHXter042gTtDna5t5lBRvUuv5Yyng/h+Q8
j+1wA/fGIoKamJjWevUawXRMEWJsaxfV1tmd/k59/jVQ4q+ecVWIf/e00WW6o0GwzCU9l9foRts2
p+Zp2gH82Dtnj6tn/RlJFavcS/lx+hvLxldawf++uFJqOiBAdV+9Ab97cb2OvTIjaOVSB/aqPBvr
ektSlH7Snt2t2IjHW219fh43KWKTT/wjv5FnsTom2/DGrP/WQPLjxfft3W4i1rQB8tJG2T9JNqWY
UALoaXwTiyvhQQS6P7fjtwXBn4r9fzyz/vc1WAN+/wMvbTFocUwAXdW8Ru3el3d/fXr84c/gMmd1
1baR4fmPX7+YHeYuScPlrV0bn/eDTc357YT6V5Wssyr98/b98unL6x+pktVn/da5K6SfgeZXN0D0
odX6fc2BYNnGM2/hGjPhUzp86Nc1h4sq2UXIbHHVIOD/fjfs/OIq3ZjHJ4DJQ7H8T9Yc1lcP9u/v
N/RjHjRXMDJQ9wAOeuqb+P7xA/siO6PXo9vQL2hnGXv3HWjgnBRvs8+f60xjkI9uciHn21WB32WB
dLIaQLTor5aKBJ98m5NxgvDs5qcZzPNq8VOiTUZ2yCSKq/N61auQca/In4SKHQ8T39+gpfysDzXx
Vh7uoyECCjJ+cMgs1xlp2WhZV0kUf3T8PNBoHp64ysW+pHqLiilcu6HNjLDXq+1ALnqVsC+JdOMD
EXdl0Kjw9M4kRn0CjrOd+/BtnLpXM7eJLUb1tfEqEj7psh6qLCYrtcTOPz1pKivMV5HtlU1Hl5Hi
bqs490HpNGs/ZlzqVi8eme/gxm4Km8lrO/EjDioYvqv1q0ZSfJpHl4rk+FRFyKetTeBWYlztNL2K
0pxXSZIr8hbR8znVxc6x6nE1dtNnMtCRgOpDAtPJY1EZ2zgdRPpuHOUVlwM0DAHtujMZ3xHM8tAV
4EAK/Y7pd8vk3SKc1V9Oce4f435mmRMLZpkxGT79eIh0gDtRhZIF+TjT28Fm44AENvBjsTx2WUVi
ICCyzQDhD/FYbx7BXqdbP5u/sESHLjbGhIiWAkVRkXo7c/K0TR2ZZ6fRD43l1QhawvBOaiUZKES2
bGXEbernBbELGtHr5VDGd5VDXqmK9EhcitjmoxQ14eORqTQDMc1p5BJyXVtbUrCaA7plCeYFlXTU
kGPiliSLRsXn3o+x6Ln0bRBmi01ecjnORfiRMfXBidr6kkBFCviikkjzBH5eOQdiGTdJqBOTWzrd
0TCaexq/OHARIAbpbPNADjhjRMf2rIXUt46G5TNYPRJZu4HyHDnxKiV4myFp5e6T1GBjIb0LEjU/
8Gbnta1H8j98/aacCNo0ex5lero5iMYk39YRcyldcx7K2Pw4uhlkF3qoVee5+b7vZtJSoulBk2F3
COn6CI0tV1OByQaVJcqzYeQx9t1rKJD8NVZu7YlS++Cnxgvdzs7V0PYbc3fRWBfye2YHZU1lsMTN
i/QtNciGFheUne/csU7qraO+MFOjQFcj6VkNp83plbDd5zniPW9kHlgzNciWTLSlGm27U/FhUsPu
0CN4NVQD8MaWT7MaiTtqOA6qDYYw43LwMZLo84rcMkbpEzN1RkQo6tSYXVcDdwb6zapRQ3hixd8t
TOVbhzxcNaYfqvItYW5vmPGhNLzT6MGmYq6/MN83aJxjDYidGvxXktW/lTMOKlrrXlTOGOhqUdCw
MfDU6oBm8EB2D8uEjG/cj/YdWwZkFG8OW4dOrR8q19pUYSGPlSY/GarIw/pgr5q5Z48pR+cIjJLF
QzSHw5oM0f6ZfdVYbee4ttj0aW31YE5D90QrOzGZMOApOqIb272ZePbHKKvsY9/VeXTNozzyDn2j
WR/DyDHCS2ojwi38rA8GP3zWmUxs7BldPFD0nF2cle6tCnjJlCIxm3juNnZN06/gjoM1gMdEKsKY
cB/jIIDzg/RrSqJy5Vfhnbcst3M59Hiol2WN8PeaA/N4HIgY2BR1wvGU5QaquvQtat271kFiq032
ViZdvSdNK1+7yjbi98wTxqfGJheed/HOC9unxQe51Yjl6lvJachAndS1+KQrPmpVTqCxi3t90vN1
34edCpJNeNbCW5kJYy17UsM0cibArU16digrGsXOLD+51RhvTGNo1yAOzkmWvhjexGkws8gztmUj
a+wTEBcti/dhjgwGFss7MZ9L5oZFtveQbZYLybvJThu920i3k+0o0zfHjMnJ6GmoTVbjebLRKdjI
pALQhO0BhWUxPRSLOcMm5fRriyJimwm2UuIDWaVGsumrGTubVezMUejrYkIdYjjNfZLaaJRa9xzW
zbXqRLJuJhxuPnrVJjZuLOCOgR1pWyhDJF255VPmVNeqaG40JyzXlXCeU2/8nE5OvJvm/DTVM3DL
uT+FJG7ZDRCZOrmVNoYTo3eOdRiyNU3rbQKrre68j0zz2fsKmPeOVgGfRIddgpJeQ45alRKGDaMp
9q+s0A3r1Rn9djstHLYmecBpgYQKwTG7ZjlvAfIfrd5jN56Qr5207oEAOM5nlM7ZCEFQSx4Iv/zU
DCAb0c5kRCuOlfaUmfypBZmR7VD1HDfjttCj19T39/ZUgSfko2HtvfVj+qXu9FNhxLuvZdS/9aTq
tf6qniTd7Q8WQXzSr+XkVzuCcpHRjbjIevnQr6oZAzsCYGbDscmuUVbU38tJ7xc0M5gULJygak/z
ndQQFQ7BgihwMMApaqH+T8pJvAWUiz+Uk4pCDfSHtSXfBV/wx3KS9TGuIE0st6CSnxqTeidnVKEI
cMwPlmLrNc5O5yGyJdKI2X9C+4GeeSAPrPCdd6lnXcyqPxRpuiF2KuwC1y0QYSdMVx/zygfVb4i7
SCvbQ89BiJsH2umLgfIV5Z9ujvEJclcxI18QIQkfQIvB5yabYkiHO4GqOQAA+TBlqlcf5a1vw/EH
NxXUMXqBZq7eSak9kTP1aFISrYTBmSxa6gtN3saJd9TJ6ZNx97lFxGFn5bSKUnFfp8aVY+HJGLsy
iHveWWGvpn4tQYNh+SZbWPYxFLTQQpVtsI6ntp1vYVl/anKKBRvSVUCKxxeoq0vQC0bY/uxtItGz
Ea9iVCEohwDLa5Y8TDOJ7ei/T/rg3poZ72odi9DgroUeu+jXY7UjH0/tWD/Hwv+gWRB1vdy8y6pu
A7XqKUsQLbXp8ti3wF0Hvb7Rw4m7onozhM6oIbn3B1WRmsW5joqDXsinrBtOWjW+iZaSVGgSOJ1p
DkjYETdrWtavTALYm04j6C521prEJxYaTChs2vhbA0Ul+ruGcVQPOzKupnWv8myrlKVLgRZqA55v
WZdgttaOcD8DLD6WJpaFPgTh1c1sTjyDE8vcD0N7G+bEk5jMlghKaJsapaczFLveBju5svPiYPbt
uuvsSz+jGDErw1jH5bi1RPiSgdPO8lnDfEjhV86fIgfiNF9zXeWYDisVRBgjPo9N7ZNoidgEBMfZ
mjFcxnRCVI13Ye0KIll0w9YYYuecTyZZemX7ABncujH6AhG5EbFdcv00WNphHyOJIhAPjUY+uoFH
tb5jVtsDLG2cm4FFpKtZBwCNTyxo92IwnqaRpHB4niLoO0NnlmGkZyS2lHckGGxiG4ddOKbaCp+a
hd5LC3dS18VNPZvGHdGP1KfZuPMtUHpTdCwyVAxzY3xirGFjV5DJLQ7XCSuitZVesR36bmKJkuRr
eypfZAf2b0zeVxGpxT5hd1HM3zPNZX5r4cFL5uLb6f6nE4+fJhK2QIVs2jazCHzu5Jr+1HLW5kxI
sebrt3nxmFlfbBuB2OG7c/MPtsV/8BJgMXHeC85IwfLix2NI1tHcpQnw4Kx7GbKrrN+V/jdiyr93
lMnF8ed3FGkG/7l86l//ICxGfeJ39xRpVUAHHJdLx1KO69/uKeMX29AZh7i+yUUmuEK+G3sIbNow
ERwEBT8IFlyysQCYCqbv/1zd+ePMTZnmkIkyQoGei7KT0+3HxwMEKBZmR063orq2kYXu/e+gTfx8
392DTAoFD7fDK/ETEmVgMRH6fqyCIj4zBxdue2elx8R90gTXzV1n7fXwOo03nf5tAven76mvetm/
fEX1HX03ODVm1klEEQy3aQ2+0JNRj8YA4XOxqqKqu5vayjuOvV3fOJkdsgjeOqlssDdB+N30RU/a
d1Q6H2fDNw5U1WpVXUP87CqsQF58tqv8idOYaPVWfBm17A1LwfsSfFNFDYozjsRNErgkaIncXplG
7G1aghAQkifR3sqcXSeJy4J4YW6jOql2oZyhxc4kqLst7qByEe0KEuuDNiE/G5J7bxxPJDUTaZuw
Z29C/kqo6YvQQzYwEfgo2YBAnw6hO5C1ae6RP1zHGG0l0NgSSSyOrehEvbAaTO2x1RDTj+XHcVGq
rXg/uku30VFRsQ7ZWbV3JLtzXsVONWE4arsdHfkFzOjy4Pbi68BUduVDxcpy7zQcjDreyoapUH+3
1Bb/YSjaubrNI+vcC929wQxt74mcXYJiMJsX8tPOjgPD1OJWdZPDnE2X1g/hLWc3cnGe9dwn8EdD
EILJc9sayWfLFl9yhPmbybYuc20RJGwGY1afe27rYZAHBKFXgVSjDJsgmUmFkPOZZWIV9Asyhcie
Tt0ontlwbki9J8KgXB7RGBPQU8jsJhnKa5n1u8GbbrIlO4qKjenMjoHqHyddM3vIKsdMEEyQb7rU
fWx6iStZE9HWKOrhMAxTv8tDlAsqJ+mcowTcYrE+5cUXX5turdi774aWHizO+1UcQyOsi2OYJ9eh
1B6msdzGnPzshPONl+AhK/ovRKZhLXPSOyOaNv5QDOy9if4xnIA0tDvSGIEo4qN3Jms3teNW4CHp
HQ8Is2D8UD0spXUtQhzs09wxaMyz8X6W8b0T6od2GgKv9t5bWbmekUy/gw5rrjGzvpXmyNPkM88C
Wr+EkK+FRa7b+Coor8rBCRpLT9ecYAeWlnRWJFmjs6QVj65xMl4stlWNXexmYW8YOaLEDk8kbO5b
pizd0uPn0m583w+MSTtwUOAJjHqmnqJbmfj/G998sugbDd4h60YVkqWd43RECX5o83JbJzDYTKkd
s255R4BdvJJ5f5MwhEgZOKbpyGMd4qYcPOOTP6SfUte7VFSTK0L4svXU4aAPu6lY2+HofVtW/Hvp
KRrHn196V7btn/5Aoqc+67cbD/wIAWTAfnQHs9dPJjB20VjABLo142v79d8bj6R4FfWDEQyjOHs1
tbH+1c/g/8LCgKUBlyWpjuyd/0lnRljkDzeSuolctWTgu2BH7lEZ/Xg/sI8vS5O8vlsbEWq2p4JH
W+M12SUFV2AtvJ/j5TmkcDSaPt9Nkf+MJqVbFYANgMHvSJAgQQ0IQtvXTHKq9s4ZKypOgQGROQXY
BBN8wjLgTdQ+VBAVwmgbe9GtnoJaqBR0AVa3H7j6goagc9DJEYuSWz6DwQE+uQW3AXcYp4KpsVWe
+g9LVeynr5AHe7wmE9iHhhKaj4vTopAQNCIXeMHOaoAWUWqDXBWteE3gSEyL8cVTYIlKISZaY34o
FHQim60Pk9Se24WqFqlbAGHcW4+Lf1M6Up40wisdBbGYFc5ihmuB5p3/MezebIW8GGFftKMOZoMm
h9ERCBcFyCgUKgP/wGeRvbflNe4QS5DuRhp0u3dSPw5Ct29hGSnkhv0Vv8FE2OyD2iRmpv0K6NC/
wjqSuS32tCxAMZQfiUan2dDdDqteuZVEyOGM/x8Hk8GKQChXk2mMLZ2T8jpJ5XqKv/qflry9G5Un
il6uWdXKJ2V0IdIv5Z2KlYuqUH6qonHeV8phhQqLdHTluqoqVhm9cmIRG1RsQuXOgqAh73g2rVWq
vFspJq5YubngH2GQQCt/CZXXa/KH7hiTvreblROsZFrbBY3yh2mxGe70bHgzlHesiZuBIw8/Gcz1
lxGVAFe2j5RHuc50UstWiXKiAQx59ZU3bWDsBpOfR7XFuJYrBxvZmfnVM6NsgyCMgbkmk42vQ4ix
lPstGzt7h0nntVDOOLwOTDKVW85Vvjl+c8DllJfOU4xxQ/nrQmHxu2FYvCqV+878asRj0ZDxOOHO
q2WJ2YwtzqpTBkBCqdvTpPx80YSzz4/jhHwOTNI1NpXN/7N3Js2RG2kS/UWQYQ0AZmNzSOSeJJP7
doGRLBL7Fgisv34eqJa6JI3arO86dauqyGKRQCz+uT/nh2ez9DpfuP2pRyIciBPe2i2xH6KES3YQ
/He8ksz93vWCe2scFjG6P678qJAcA2q7J4K/hBEhlAvuqsRKeOeio0xNpN+Z5Pkm/g4zjkuukViQ
TL9yNBRY7YZ5UxmoLBh025MKOVGdrDoJpD7e5xyAGChxMishpmyrvHmcND8K9DmEKU8x1aaNEU36
9kWLmqe8WpoBPEq342IeaSKGeZPqJDzdKX00yuo6pSbmdfJnfHNxFF9MnUcko1a4IsAzlAraO16x
oCrd5uB34jPO+9dOD7dD5MXB6GtfQ6qWhEnyYtHzlNv58xIg3WGGp7ClkMsi4l/yraC4xf+qeE+1
judCFd49DsXrxoiPNQLoqpTVlavbH6bwn/pcI84ux2s1S+/gSbmv5vaunf0HTm3hRleErptObvp0
SvCCJNPOMuc0QAuwmUqWpyFqA+nFtxE6x8qN0Fs6yitOjj6/jSmpl6E090kVHzM3PHsWh7mRBrKJ
kDhvCpOOkodtxXW6XNmln7ynHmggkSkqs6w+wVPJCXckeHkUwsdyRc3BynboXmqx7hR6V26Ehcg8
aHeibZc8QpYcoxL25FgxqM+mweNL0pZWLCW29ciaFFZDdFMYvk2VT6vdfEc2Zz0M13L5S1XtxJuU
GetOxxRzmzMdW3smZyNWmG7XpgInpjP6u9o2ps2cxh6vNsMIPXSn3dhBgArbxFonzLk2/pwSMJHO
FxUN8zqz5wPBizP8qFNhpRdONxYbsEAmxyhSJpZeAya0l9pe19E5I4bG2tYrUBVidBYDyyqJIVSE
SWLuTGs5AKZ8tXHBW2sOw2LisyKqFOk7nGpWKb0JDVrc+Zc6sncWRSVCJDfETksJ5qYFqk1D7SSA
EDImLFP/cnr9c9RZ3GV/f9S5fJMJCa+3v8rQy8f9dtghoWkRwqQ+Cb+dLRat+ffrPdRDrma/ytMe
p5afbvdgCA3DxXJgmt+Zg9/POtzuPQvJmvORzTkFF8L//s8f7r7tn/7756iAtWQefroLc9bBVoNV
D9eFRTYCBeiPZ52UcjDTnc34XOggIC5jUzmvo6HH3sGRZRldV0zCjnPXiFcR22zUvlbCPRlGbXiR
s9s++rFd3fl+4sxBanVDtbVKVz21VkevFd0eLqmlFOpGoj2CoeLcHc02zVDcjs1RXHv0dNIede56
cR/l0xvQ+DczDm3ev1vRemysQt+ZeZEgkDKXNzKxGftw3WnyiHuMZuoWpkgk+zaI9Okta+jwagZ2
f8zILXax0sYT7AFoFt42L3uaSZbkp9PR0BFJCVE73NcF4ameFpREGOvMwv0a0szgSQpzenTnsrmr
LfM19lKL+CdaMFlDKl7Med5xJysCvPo4YG3nNhXuRe+1zybU6UyU+UUhq1MXkwdrQtNb261LD66M
4KUMNff2Obvtm/qhsef60pI9BTAlwzi5YGtkMdGlaC+kk5zwnbIw7I9llF+UHDRmt362BEGn1tCp
FNHl58wdBq7Iska03R409U73i73BFJVgW8qg0g9sW410PplbRlTQYLgD8UUZA0Enz9knJf/P7seO
4pLqsYyzH4zLbjxYZ16dfxhZfC8qxW6uUvsidMIDRJabpMYA0jvUIUFFoomPytVoIT1WOR2BQtzb
kqQcXr8foipPM1GGevK4NOsek8nSdVe4AVKklvFU0lyi9AEkTlXu8oTuGNPu5kBBoQPR8piKFucu
lLotE9UNvUV3pSOGQBvYdWLd29qN2191i1kDZLWnYN8cVCaKRyIHIwt8R+UcWrVjxVcl8DukA/Jc
6dQ9yCl9D/sBj14suxUMwq0rvSdhes8uB3STgQNJXmzAy5eh97dw9bZNOJ/zLGFmb2798JqHtbqy
++4i97PreRKvicAfUFJwuZVjgsmAMfZBh+6mBI+d4aQXlVkhbku+cM170ogm044xJIGRjmGgyWSb
DdmVUxdny5cn2xfXfYtXQS24oMi1Sb42rzYFebFjPhQqZ/Gv3GPdi/OUDGhCgtGDj628bxgOhe29
l7rvQhsvpeg+zbC4b5V7MFxxkfaZcdBjF6hn7nOwqPg5kOP/kRsDr9gMxMAbc/AqpTjzjxcrNcTP
jYRvZejF2QyNa6yU3Mmzd00LA6/ydTLWUFgKq7hGfPAYvTJWKlT5FAvUIGRxEwJ3mZ+0vKvpCiVa
GEIHC9yieIOKwAl6ym+MNnxGw5lQDrBwx1irfW++yEt12RkUB3bcRETxxrToCPkx8AaSjNxX8tA/
xLU6t7m+sy17b9U00kOTI1QpbA7VXrmdiIra5tIHbXDkcGLKNpV1SgxZ3rRjFrbHsTeW0ECJvmFS
u+n7DSmO1HvqijLHCFRQN9rgoN82uU5dSstXH5VVta5H27weJ/uIV9C4inmxAn7mzrl0uQw5veSH
o9zxaW7K6FYaRn5KbdK9im/BZsi1fG9AAyIxzogM2GQYEZYUKt4rjSMep0T+6qnWja2Whtnqe3f6
Z5t2EKX/fpu+Z1KcqOmvu/TyYb/t0gyLmdDojGEZg/xJkrB+EbgSre/e9X/v0UBp0K3xiho292cO
sCjn/9Yj+HVKsj3Dd8j7QZr70578n/Zo91tj/8OkGLqDTzLR9PmfxSD5xz1a49AsmqYtrkujtu3L
1uxAoE4LLwEBeRpMfzWOfe+tcrf+aHoahyt8QaNW3jH8whHnvk/9EG/qLtrLsNg2Nd5uLPD5urPd
K10BB9BSwn0VDzbnZZ8y02iKt2YtkBfr6Ip3nbFkH6sgDatziyVdExi2HX/4YddatYkJwXc+ey3G
xdNoL61umBo13CBSr5x1FVvEOlgH19y0clZq+UOrgFDJTr73zPloMJx2qEHv2mhs40EZsL6ivUs5
fTlnZPvoboQgM7xgp3vIWTCCNDPuLEc9R7Btd8yTPfhZljhHlL1vbIMmLUQSuaFc6Q2MJJEWhwGs
B8iKw/S5stm54tm8Q35uVnGX3Iwm/eG682krjC1yeGsx8tjklGhNhbKMWkvnKn/a3xe6fO6s5FCN
aJ5lFj1XrXj203drqNa6bX20vv8hzfYs5+TJqcaPzPaKtWnp85o5/7XGF4ufeNgXMYawVGmIqVoH
5CpL7rhDXHW1djVbTUj3OhfoyeSOj/mlOKT0iK0cgx140O1rzRnyU7NIFI7GHBvuzymNRbRD+xB0
j+XMezudg8D4wMnoiG+fwKGrsOtDQOBYcK6pGKQeFCagrEuTaPiw8/q0WsuEptt6yr1d5sZynepF
vxF9OG6c7ruMld91J3Mvo+Ex9NxtnnTXQu8YCZXsxprf7KSNbMxJdhVl2cF0IrB2ihgb9eugDHR5
KDSyidJkFsuLFgZD1Z+w2F7F/Cj4k/I91eSt6J3rIdIPUeqOgTDTnZ1WbHbsBwt5LpvFg+J+qRfR
Y1upTyolNRC7ZsV5jhW/h11Gnef8XKZNvY7M+hi69ZPWoa3k7fCg+aoO+NB8M+das7H67G7SKNSz
TMGx0qi+ihaBOanqS3vyz5mN00JNI02Z1YADrx82o8fgArNfxLsivTWuVTMIM38/qK5bZZYc31SI
q5FrZLi2ZKvRvJs+dbQh5smDpeiL9PyEkKUB2ptjQ+Apkg5lq+hTGGS9Hw0zDKxKP8HFuLRLjYFI
ysWSYMHNRJHrZiqbGTNmcZUsIBSAxiJILEsGnKYP4Vi9ZWMDLMjS72zrqE1fmQ51WIvkbeW2G2sa
UwjmYCvs6hGM1pdu6Clil/0lZ/3Fb/0LOOZX9TTdmTDWV+jx8UZMMTtj0dzGXfuWE1zB+UfAdD7a
nU/brkEwkGcvXXmtjRgwfZmtfI207jRU6oa6oEvsTuzGpVrP2Xhp+ZSYwDvBe1CSPkk7JiYdtDZC
HeqrXughOeS/NaCUN7JOryS7cTRUVBua1Qg9c/DEUXHXRlXSvCBP7WdWXRJWkyTXkIsPhWLMTIRu
QhbkU6vJcRe1XbeN5/6oQoCUpoxuRTy+pYkTgfPI7K1q2hxrLjaC1gb+WTDDiOmmVfF4pxxUN3Al
m3yMB1AZibkpS0fy0lW8Ep64zGWSbqoxvKpya6k/C8fA1aI7BM5zVft35Ff31oihVZQ+5sQpv4Ve
dxVFRrONlJc/y4EzfTgwqePOuHQf8mI76RPzebUS/ZBtWVbtIDLj97GsEGxtzHtDeWRBv53sqt83
ejESn+1u0L/AzGAI6B0IX7EO1aVvLWhRoroPvfIYh8IOsia/IE17kzh2uTJTZEiib4wgpbHhRsHH
9v2dI8ibzWX33lZcbXzQZCuzNONApI0WRLP2Bc+f/SKWyc7z8ahP1buweLebHP6FXXhawMAsWngt
5ZWOdLOSVfNseDDjlQc/pZhG4MQmogUkBcAjrNlOXerYjnU8Hqp67/zkqap5kIaQMxtQNEgKaJ1s
dzIYLFCPCkLm1uc+HIg+AURqDXs/sgv4jnbGS+PkfJf6h3jKbgb2xEClXsU3pk0BZwG/zLWJx80D
I9yl/JqXw46utXlAokkvJ7gkCySLu5A+DCstEw+OmnYLgMepnOs0qj9Hg0/HZPpZCJWsBqkt4b7y
AsNGc+U68yX7Pwg2t1xM/gcF2S2wJ7PbZDCynxk05Yd2bh4gz9IGWVpP2mSfVaJ+DE3ONSJ9YLPX
QeS0+FQ9/9Am0dlNmnt/zvaWBljCRcqhr7vqVpM97EMHl2bJ7bDqbXw4TNAAhLkfCV4nisCxQDYY
6rdT5d0aYdFsYHlyEp7HclPXVJf3eRcedDm9CTpE+Hn2JvlG734s0W+9UDsmUfQGaoNwGwrsmNa7
qqn4eLe+xnVroH3q0Qac6EedjrTCquTF1hFj00Zc6514rGwBpzEf93NkfaX64LLGGt3KNCmK9UZa
UoWbo8+TcF7p1cTjlxIINZKJKr3ZeBFtf+XbXK8YExcrCRNpHU9Aq1N3GjB2pm90H1xmVEcHKgnJ
Avdwhfqcb7WSZN9shAbLSQNgd/s0IjJAbxb73YK2bszFY0rccCN870ccccNsvEhue0jAVBn0/brS
p6DK5mVVFU9ETA2g4qETFI12H8vhQfpQUssEeuWQwxw3YMB1ngqitkI+tuM7JUAahbkCQIvgXuj+
g112XA8HP7BatVjGNFR8wftk9Wo7RoArzaw8aJyceCFTPRjM9h0LGZBu9nO+W2whDEwFfYxzk3wO
THO1WnwJXbvXLI9NoHD7IPOzL5ds4trMzY9+kiefnRxPuvPRMlZovE4C6jaOOH3LtT/3djCK7Ckq
Cph2ozQDr4OLS9Q9Ct91L7rgYIC0awOsMbr0WDsMSijTTq9IQx7CBvKO52UvkeaQGRvSewORYoVt
4tbFhbgyoSLb/vA0LoMpEc/1StVVuWkI/QaTA+uzyBr+OXZDgmCQGMsr++Q1FcLPBB7BhTfFe/cl
TCRznhl4nJm11fvuue4Xbq00gOaWVB5N1qUlErUpHUQfSp3vRMLPyIF/xvFyZJ2W5eVoyxIXLxZ+
T32Q1G0DI1FPzfgNtNUf5pyG5im/h9NfrIeWJdXV32lX4+EHzQiF2B3ImncXNfTFUh+9lT61iuWQ
Ujcl0k+fszHGt3gFqutzLuSR9DAah5wPplk+JynZHDd9qHtI+S2nPDdj6YN/1gWxj2BfUXu+bjp3
p4/yS8Qc6dxqfLEKznx9agRJnj53bnmgenUdZ+UbVP/3VHV4yppjkVD3G1HcGvYlO6XV7KfGvR1j
YzM60DPCprobWyActn/wHW3d6CnKvhVMiTGtJgsYO4NCxl4XGC8OXVIHuaP35rFNDdBEkWtmN3k5
i+epSgRteZrT8wsOsEAAGQKyRa39WqT5zx3URFj9+zvo5af8+Pzx1yvo8lG/X0GZiju4trhpEpcW
Lr/1u1Bs/GLa6MeUV3+PzBl9/9sHRrYNHxgWYtzE3y7n326hxN9wD2IdsywUI923/5tbKPPvvyrF
rjDBOTMWN9E0/6QUW5o5GKrJsrOhs+4efZXUDG/7wtaItGQua51Auwy6Jm1ujGW/hRFDZHNPK5Qe
prtyyT0t5z/lPcbTWK/qpL83LFue9DGv4udwiUIIBRF7AmoTFN85iYygECjSfW06JMZJU1TZdB41
sG34Ad5CPAEBKM5TTQKjFCPJZzIZXHx39RLS6LzxkbzaD0F6o7YqPoE11/todHD0ekxOW/9Gkfno
K2luirRA7jIIhNSM/B9CVmTmkZwJ9Qm+xWicPXIkQwHHTizRkmgJmYzS2/eiZkCcsTkL88VeAilD
NXVMzzBEVxUd2hje0n0NsmzjSw5MThWSOWni5y5r1Lp06mwXZSg986L5WIv6030LQcOiCWGZRR5q
vqUic1GNxkU/imOdWdeiKbWLugTRPrp1F8VJLNpTtahQNPU452RRpiIDjWpCrGoW1Spe9KtyUbJE
wwWEo2y7jb+Frn7RvEzEr3BRwcpFDwMXzrR80cjwCSOXpYtyFi4amldLe14V/tRGfA1lkxxtVxPG
wc9aLduaQwbd3s2Md6Ox7HWHxc5t0vQy7oGDhR4rJa7jGL72iprtre4UNzAe5RCMUwV4XmafRCaf
mja7qHSydIU77HKiMoHrOLjBtMsWVMsqLpK1U+esg+WxNuWLqWUX6QBypzGLeyuKh42KvQ8bDQKe
JD6zkfBPrNyMgOHEkR5OvQUz3YnT+RK4ZrnSGexn9WJfsvvwAJzs0BUh04qQhNaIMLwp5uhjHgec
DIzpCDmio1SLmuv4ZRxQE/Dh6Ew3kZIz7sGUZFvxuOmojHGL6SFaWI70LTlrnCRpME0ww7kvXCkx
FGsPpOCeSFJCiiQiLcafTBeV2PA37lTHQaYvEVPHp8ZstvvdhKdqrY86Z8+BqL0kmjfVUGN0XZ1E
MvYBLm+TFmZuoHphvorRIEM6VXdsrsnKnziWhGXrrhrmgj6BrBVjKApmXfezCKMfecWwhLeLMzRF
fqmWXndc2XgGzI2hY57v2olWcUOmq7Ia/K3Ho4+iFq1LXSrKDByFaK5F1UxQLHWr7MgFt7r/R8P8
pp/ZzAX/fv+465T6lH/dP5aP+n3/MH6xDbLTP0mVP+0fvs21mOINg1i7h/D52/7BdJIEDEYnQB0G
Aiir/m/7BwBZC01URxQwfgVy/xcqpukt+8MfVEyXFI4JBsleNrm/oM96bpWk/fzpTElHu6VSu9y0
ts6FILO8sKFUKB2JGfYOupsTljVFG90dCufO8TKsgnKm7CnWnYuxRBXoU3SQrrWPNn1u5Gasdmsa
yr/CmFrtR0ZrN6bNWwThWjsVU8RSmVbP/oxRUXP0j7JBYjDi+aZISDeEQ0Vwuu7RLSP3zLyQJo2q
R+Go3QxJaMBx6UXWqiNNyATdvMksLT/0BYbJAj+wLmNnr7ks/Ahb7QH7TukRji6dIKmzW3bTzyFr
7qrl1lkMci2hRB/SURuPkZ/nwaz8+sz96RU/2q3f8FlC8PfYxAdGF926HUEXhYN/qdt8aywzZ37a
3+jZ/Fh09QPVUSd8Z684NXdpXfDFzoNJECS9gHSC+DA4l3Pt/Zj9PGPRyZrAI/IyuYCX8AIj+nYE
+2KBN8YMP7IYYcDxqm1IAsbVmsvSrJ/TpOCkCgQzSOICzqMzvc+JeUVjFP/h1bdJHHGAT63Gu24t
jwop7CeMNmL+vpCpXtBgtPUMuZF1tTNJzOr+sDNZqDrD3xpy/pw9L9k4bk/7CfKgy/4IlneKV2XX
1kgLKdwPb6i57XMHG0z7qe6Y72jcCxtwZv1oOpCIPkNXbEyzVoEZRm8EqL46NwKomjnlWtlztTV0
BVw4N69DOYmVK9i967S+ieX85iGlrgzFDDnOKxFImxKKUlRQ0dRjmlY3nV4AWxKwahdw69xsCc9w
G7EYWhviZhyiJ1XWPn6b9hRJla97Dd3UEzyuXotxPMkiNoAJXqublwlA4RaNPKI8IWl8CkXSa/B3
TdC04hQOHgVTTTuuKa16I4kcBaqv3twRja8dSY22WjjvQ1XRdsVeiHZlY/Em5s/6O9fr0Y5s2mWi
Ozd0eaYqywQgVFyqsBoDEDeQ9MaZwEqDkQtPAQjg4YbKQaCiFl2YY+FtnFZcFMLcY9WE3hX5pGVb
hFON45UbMzGMsOOKmhu7MzBQSPPxXI3aQVZKUs6VfZAZe0oLCwfYcJ0uySEjKj6Zp1xJM+I6P3hX
DFv1TeqBhw1bOLucHK4h6/2AslrjWI6B4U3vQ+pfjWZ5B90tDQpnfskbhRKoOdGWOHZKTpxhrQrF
C3dvDNDc69I0+0znniuRGe7mbiBylWsCtaaFTxABLYgjCk9o8tlodfYE4ufJkNAJRE8FjZ6+MjaF
NKMq7FignVdJZV0yxHzEEnEyov7o+QUUldHBwYCajJcuQIgJeodpYuprL6qZdtSMXVSyyFeDi1oT
R+6zmk1FMt3y933t+uu2YBg/GDx4TevbZzOrPO5ozpxwV2A3+OdatVRE/4dtEXR68f/4b5aP+n1b
XFqp/jYG6nA58hjvkbv5gwHH+4WBjO35WJRtAljLJ/z3tqgTAVsIoxz8wAb/V7Wj7MJ/2BaX+Auu
ZrqxPMaEFjiuP2GysrLO60xP9TMbu4y3jjfLgHlW9yFT7hE2cEy9CLO9FkJOSA3/MVQUI4QybtZs
su+qyO9Ibvsrgl1rDhEAzurkvdP0Q9s3F5mWRoHE+cjL3wNIRILKLOOVwyAHd3NoT1QbHKjFCaw5
OVtKOxSxfwkFYGXIdoE5pE3Qgx9eua23L9G954F6Gxy5ahBVUGnzdQbUMkDcuDUt9cKEg607K2+m
TDMYJyJZxYkEUA58qEkS9CZxQunIk+mVOU+3Sp30tpXkF2WDWEOvYKE3+Sad4VlVlXmp1zZZ0tle
zpinmTROX3Ynrw1/1D5YNJM9cxLZjT3ihonK8HKw0dIjU3tBGN0QszDe5FQBAs68NR6Zx8TUf9Dv
gNxeW00g8vxhdLUfnUMXE9HG/ZJcnPIo3jCdZ/PKLpO5fuPQ0G77EF1yIAQfxGbj7Eo8MOEYw3T0
ioepDs9tN7wWgoFm5lKg5DU7ZYPZ84tiQZ4bW487EjWI58zk1L+wObvB0INp9nG3+Ntljx76eKcr
D0+Pl96UBemKvhyh7c2U4nn6BrPLcxI7VtCbDRxzP3ts2gnCdKaenXk4DYIhn2qLr8qTl4SQowso
7Fe4suJ1qcRmaLn5UOy9b0McGW0T3Zu5xJkSJ4HnKv84CGwJpoh/lJF7F4XTDovzSHsO7OilKIdM
0OdIcw7teoSg1BO/ti+Xah279zwSxtTtxKm6Lr8LeGjiERfVUsvju8Va8D6tcTRDEaG7h6rMfUqX
j+gbRNyl3oc/eGl0zaauWIX1pQKIhu07o5e71Mle7MnY+RECYu05J7I1fqDQDrEPFTfdUi3E/XBr
L2VDM/UXU4w5DH+bx0BQ0u25VBMtJUUmbUUmrUUZrpXcJzqTMQa2s+GYLgVHsaTEmsYjUjJ0ujhq
pXmJO310USWf4lKBfob54eG0Kd1bc3EuA8KUhXajUx56i8uTKkNsSVtl6Vskc2Y1ZvgF5PszdDiS
xsgNpd64R7ccH1sh31XWYTGvqhs38ndanN0YdX7wcCoFlvDxlLjY59we5KEu2e7UlQEfln9cvWlc
l2nimO4rNdrIeUj/fu7itutbSjiTYg2XYWuJ6Y176poT5KsXehvdnx74QQPKTLXDlGgXZRPv4kw7
YPICu0t+Ns3XPmR7hFKQpxi3R/Jikz0frVo9GY3EaTQRwkZ37BHFV1aSXjCZyAKVgYQd3d3gi1VR
F/xAHpVMd9PYIbfQVll0h0RjPp0BbZ2ArMaJ/0xEPeMAH1/0tW+skbX97VhgLsCjvfcbHXiS/wGG
hJdgCqbRXcQNf23V06XdpYdBLrAyE4s2zld+tg4htm7ftRL+TH+G1LpuU/ue8VfB9VZezITAsQyX
GxvUCldqLDzjctrM9DunCz8bHGVURBQH5Ude0Lr9nmLWMdAacmiYmEI4OKcYAiSzQm/lQc+L7e5y
cMsTolKJzkP8I/JecnLdSgBfxfQgJ33nu911Ivon3awPoT1uRa+7G/iTrH9jCRJJVLdWRxtBMsuz
rQPWjdI9Bv1FAbsKxXzfLFWpproJze4omx5xhnDUSOfQPJtbIeTG0owDkYN+TffDzCpsbX1HnfRy
3nolTan+pKES6e952JorZXavsFZgpJiOhesrujaWQ3kU3Rizd+F7Ux/Ms5ZsxTwcdeCvOPRRGeqI
Olst8SHOOjRLx+O1lWv0LEzXpu99YQHflgVQY6E2LZ12W6iUcEQ1dZ5Ufa1c72FcHASF4zA8LRx/
M6Zm/pyRoVlHdf+VEo2PR/0x70raVauL2Mdi3RGi72ZzbZIxw3Cy6ZaUPRjXbUPsPjPMxUuVPbIC
b9rSuZFaWFEhSlRfyKexGU/DkuFvu8KF6kl3KvF+k5h/PDrniFwa3Wws44AAwsZHszPCZrL3eMaz
R/zvQwZtq8RiNUMO8EAI5HqCaQHoc72QBUYQA/Y3a6CvmLXiBvThxxgSHgHHhQhzgbEdF1ZBaDVf
ruqzgCT4pUpclkuymuu4YqAJ6gDSwi1xumHVM0cbgSFQu7xWun9EyTu3YjzMCzVBuozJSkAKI0AF
2Cf3ecLcipHEus4hCnkkb/uFwmDPHvk9uAz5QmiQC6vBWagN9je/4RvlUBgL1uGn89T1r9fznw3C
f1V9aVbnsm4KB9sxCeAlPv5TVrZtiC5PvuWfjbti9Yx0et0EaH+B/3Z/215WR+41gdonF7QTreM9
JFgaC/eIfbt/Drjfus9y3vv7A+4lANmPv8o+ywf9dr79blTzeAsXSR6/Gb/1k+yzZKot1wRnCLcO
39i/ZB/Ma4T+OXg6S3R8Ccz9drzld/hBA8a1UE687wTef6H6LMWufxR97GVgIHwyNXyuX0n1Pz0+
TdUA1YnT+LrpUsfbN9+9ZY57Ngg8IdBE36Vm2a8NZ11N7xQYuKX6bAL4yUb4XYk2fNejDV67J2Zk
hW91VqSci4Yy1078o9vwaMQpM2XMClp0zSuXEBVq7JjZqdGZYzeuZofxX5C3fkjMCk4a08l+YqAf
oGazIrKIk2GGSps08Z54BPO5PHWWXRcE+76JJNUtZcGQXjRDLs+RvZR8djjv3E3EnJ9klSdAqKlO
+3TAQvzz6NO/i7HB5Kn7T49+ieT5+f/4NpeP++3pBwzJodZ36aLDH4l68YennyQp6U7ICv8qDfxN
9BS/4KSEqIG++fOzbzm/AAvyIYAuwQqHiqz/ZmJGLPXPDz90KE5vvE9kSBllcYn8ee0s6tzG6+CJ
q8Ka+22thzZ2A/fFReiv3O7JVOIhm2/Cqd+BlNqYjXfTqeghzGf0usVPj1lp3ZTTJcbtSPuwhuyh
0EJrbVjLiUuW70JRQQrF5FAX6V6PMOPRJbR1DEknbs8ww9SNV63s63dDlQng3nzYoLiEUBNT4GhS
7MNIHsuBYF5qxU+FU12Uk/8yawraoIf7JmnepjS78WPrTQrjeewnMxBqXOxdVTDFGV7oJj2Rs8eP
WFT906R7rwm8rlNJ9+7GGBzeijp9yLr8VZ/c+WAX0SEktLgV3ryfG/OVI+yVz4B/Eu6dL3fZrG8a
HxCxkw4PXZy8eIm2H/TqqZVadHTpR/fxCRVlf2WkENDz6WqckqslMdBMcmFlxj8qPOGRKgHpieHK
X8zxOPUOdrVNGzL2U0VBwt3CFXa3tcpeGpOLHF/irm3nZfzXr8nYtTjzKbjLUtN7CO1wVTlty5zP
L/FtIbSG2oUoqoHjOE6MMOk2Q5Xe1ghoYOPmrQ3tIOjzfN9U+Q+p4SFTZss4R+o7KeaY5GB3PXn+
ngu/WOnM9HdxaX2qJLGPecnfhybcOhG9x6581+cJ5U8XFzHGj6pNOeGH/kJivACOfs5r/6qAOyFS
Eqdw/y6GKIYB75LFxa+n7JHKCp1zZLnY7qMZKVAM+HjyzGZ1c9s2oCMXy6OLY2FKOFarAoqdct+Y
+R8AUqpt12Jx1Jk6muZ0M7iiDVyDsEtj0R2MMGA36W1pUJIW85PTauvBAQjXFLnc0NfpXTQcWXOv
usQu9Apn6jFu8bk0HjCdYQrXsxAQNsnJBpOED5el6tBPqlr39HN0CRvDzBR6UZ1vwta2gqwf95Rj
VltJw9yKvMWwyipCvQnBRNf74udxqur6bKOfZCSGHCPXg4ICLSjcmGlz6w5R4ZXykpMyhstqNmk8
VOURWuOFjoHFLLga5np98HrvPW2jgx9HO2Gjtguvvcewd4ff5SGpxEEvq2MHWroS4pDRKEy44bVs
8weRNXxT5+HCtoiSdtVl1wN8qrPxJi/63RgmF/ZiGp6Hfe1XB0PSNMR5tIniY2TrtHlO1qnOucu3
+rUe2/m2myUlU+p5wACGnDnTo6XO/8femSzHbbXZ9lVu1BwKHBy0g5pk3zCZZLLXBEFJFPq+x9Pf
daiSLemXXeEae2ZbppKZCRx8zd5rM/1G9DY7h9ozLlZUHpOoBxgyIQ5LabviHp6+Xp9YW5yxAX9u
IqYEbmDcNUXzRAbS0R/jUxeatLXTJddTDDnc9EmKNGuInoLE2VpBscvsyN3Dn6RRpy2InPYk8Wky
K5BsaYM9I7HbTOvx/OjVMuzqPbHRz/oIWNvVUzpKo7sMoXVFa0YSlcO8Ge7JMw/ZndMRzjS1K4NJ
NDSG/CRT++PsettBY1frkcsV9S85OKjG0r/ODVQH5NrrGW9IpLNSWjgzKviLgc5/mbpDamzcgo59
GiWCVzMjVsROj8wLrjDe7Me2o5kX3jEMw7PZp0c/mIZFXASnwQeIGnm5Ep5D565T2CLetiq865qI
Bcwl4yardLGOLPEYie5qFOaTTDTgX/EdMjN7hZfvU0kedNEEaIcH5sTa06j3ZynEtZ7ATrQdQKfT
8Gpo1OxRGZAKjh4ZMIizqIW1ybsgQqCVfSyx5E9e1i7aqN4lRbxlDjjQX4lHx9YPFf1RGKJ9wLKK
5lEsDfPeCTro8fOnOHXumFYEV7lVlYzm/UuZ5SdNtQE+4zNztj6K0t46hs9IBI9T3JIsMtSjscPV
z70cvCU4U6mClNzYma5wIRobIUpro0dy61QMd7goSvx5TOvtQN81WffcDNFdRbbj1AX3ft3skCgz
Mhjcx3yIML4X9ySqP7VV2O9H8yZJEiTkCG9jm+DRbNxaZnEe2uA+0udm5dr9TgN0386o0Bv7dk4F
wnKPj0acNYRcyKym274z7hLW0WsdecHKrZWkQAy3pbRPTcrzfs2C20jX3VBFjxYSKQ5/2zkaOb6I
jAXeJqwYT1TYriO35+4klJLRDvZc3hLr9109MrsPcu+G+Qt4lLbP17TEZFL0CNWCHtFl32WfeuTi
pp3HG54wFvJVKValoRbkATKOdueHLGbGFP5Z0Xv9ga1IhsVs+prXzR7pJVHoE/ECMobwwmaeJUua
PvVFYBDRaNcrB3j7RoQNwx2wKWy6suBqEG15zivRPsfCYZppzbWmxirQkAYC4lN3ZoY4pCaAaGQ3
AqnKnK5moV0Nsj4QXHFjuEzFxnjtGGwIK/8SVPWxqwxga2iVjZSA7lxUzz6K46UDQaYWDRrqZNx2
JmYs2baf+pjk2sR9MX156oeJh0wEm6fftD6WZNlAhdEnAu/DV07WR13WO38Iz7rF0CuWR+CqCApC
0nQjYt4aTT6Xs3V0ouxEHpUkEi2D+pwADsrIZOQRTdXtruzaP8ckW6ZJcWmbBA94Nu/LwL6yxmjH
khBHQbnPPCD6hZ5gtabJt2N56w3ZXQsKsS8mMjny/D4nCGGZacmRlMG9rmsnZMtLSqGtMVb7Fn6N
loT7wKmOAQMu25THNBeHWvKklS4TsPIzSYjrOAluR59KYbLK9eyH6xq1tlW1b8zFr5gALRsuupFQ
J2Twn23JKKfx8n2hR5faiNdo0JeeSaCpzMDQjvpdk6AWbnMW2iRYoc8M1qRuIOTDXKqwfR1r8DYW
u6wznnsXW2wsxo2lFaR5ahOlRbVgFVZxuifPTJyQ8qBfH9AqeQktDT50skXiR4KBtwhDb1D1hXCJ
xP00ICSKy6eCbf9KZiSKaH30xa+LHl370CGMkdds4679QH4cdUbEUVyuTd8BuBDtvUj3Nghgj30y
v5WTdd2Wgnc8pO2VbXCxBMVggeV2WHZNpVj7k+2eC1EccpMAyZQuKGz129TUrtIWqp8WyE2DIn/h
WyHu1kaH2jHZL9YQT3ceJ80K1ODVOLrdSmM3N1rzbanZL4YR+4B9qmedtAdSlbtN0vRMUxveteuL
naeOHlS8zFW8cBfUbAuRUZ1KJDlJoM1nzaiPpQjQ59osVKs6+4qGCenrVOEH5N+mZFqJvroLorHc
wubYD44BWqXtiG9ST23LfB4FN1qMIGdVj166YHh0LZLoGo/m0ozNcO+Ec3NV+nAoolE+GZCMD0Pt
33pN+qJHpblTtzvZVWhswHtskrqXL26Ie7U0b8UwRlcewlxXlPug1O8NIMVzYemLaOhIrsRMlCVX
VaBvO8ckwt7KviJWg7okDdIL3fukZebSxseE/Nc+ZVbfGO0z8c0Xb6wUPNS5jkVwnWH9TR1zYrMe
P1ap92KO8kIwXnG0JOaGDqzjxmjNlzlDNtoITdmOCN3s+Yu1SjCbj/APM1rcxSkeziYveTqiudfl
HbYPgzaironnJX3MNMhelba2NkTkw4n4oeP7zfRJDZf+lIzgTIeP6qH+FTzjPWnrvzRQRqTruIry
CFAbFMv81MzjwjPv/v5FftY1fn8RGwIfPjFBK/lzl5b4BNZpTROd9Wmv5Scd+btm3rfDN+XST9b7
HydpdKL/+V4chjSm4gtB2/n5ZXxd9+gCdAp34+tQPGjym7L2n/z9zHkgOOJg5OP69bNqvMkuCjtL
z/nAhbZzffamf3Tfv/kufvP7E4th8AnxQVnMAn/+/QNHJfJaVXZ26TusG+t/IJF/+fsrzN9/fNc/
fD6/fNfkkAnymvl8IEzjxUpwUjsrZA7jWxqv/v6t/OalVPwRjF/TYuvr/fJVpC4BscNcJGc93nU1
Gs9FSSiCueQxDCX+719L/dq/vK2fvhZ1if8wANNFlPUO68ZzKZeQ3C36rnbFmTr1m79/od+9qR+/
/1/eVO7EXtG5316IGGQCH8dww3NEPYrL/+Va+8196TDS09GMEbphGKjQfnxT0sqNggdvfm7kxk9f
+3Ft+Z///u387nL74SV+vdxmbJtFgDTznLuvsf9iav+Hy1lRlxmCon9DdP3zW4grZO6mZuTnmBOQ
xN50+j8cXq4gJEPJrw1JRM/Pr5BrOfW9LYrz7LwOznUHnl9v/5ez63dfOhcxY1xUCphb1fj1h6uL
pIcyn9w5O9cUftPSJWLbuu1rlu8ryMt//4385rVc1A5I+BwXQeCv52TouzrGXis/h6qnXpOVFRJu
Vy0KaqzL+0v9K2dR65U/Dt3Va/v6/95y/F7T9Wv29t//df1achV/+y/7L//9X/8zJuVn/hh3Gh90
nlQ8QBwDbIu6pv4Y9hsfbKVIQcOp/w/u/Pu4EzEL4wrEJdJjDPnuLPhTzCIs0+NPpLIeIEH5JxNP
qatD5s/TDpqMmqlyCmFFgDrJkPfn6xEhR2ZaJGKdy7JBW0WJsag9tMalNT2IuIIXiip7wAznl90n
vfPhZsAq0kfziGAuxW+pPXh9tdKt6WTNJWPFltQN7FWkikdnm7CQyXdv9DTAM8Nof10N+jYZvdMg
rasiK7Zu4O262KChYDPr2sxR60ABsezhzraKjl29eNPs/IhUtmSoZAYnR1nZUYf5C7ey1pPRorPU
9G2G0Vu3EJSVhvvolPKGwv9sYXlgbZn33pXsU3IMpq0/Ei0wWd5tGgd3AeVhbpFtPlkgb4K00Flj
mG9DEcSnee7K17zldSar385ajeaGIB9U8zuaFn2DnZaRT4pNv6UGR8wYlIdOh9xmlHA3OwMtWRJW
OIWsjVelnwJC+9qJX73sm21X1VGyhCu7HWdUlo5OCuuQ7MD3rEfQtigMw1VtpmJPtuxR6hihBJE9
PrNeUg71Eh8zE8UEWag32HeViGzI13W7ZHLMu/Bq8+ymoGKHTl8UM2t/qwG+yXgOOq5cyjxvl03r
f2wC9z7G5c76X+7MyX+jSmFjbo5L17OzVcNIF0MvfBvNNHdF6CMJSjL9nlkohtTR2tPDjSszKC94
GnYjQUzL0FI6hbmpljAR/T3TS0S7utrSxh7mYgJA5jCawPICtcJx/rkWNGh9JdDAa7NS0wqXxU8C
EZyICMKbwpXWCn3TD7qXcNwb2SkhgWJvd5q1Y40zsM92kz16k9XomCyITJPgXMOJty0e02pXN0Hh
37lgCA4CvUygFeXaxQJ+mJWYRqCqqVHXMK6tlfVwZ2pIUjn/4cV11rp3Kfj7vDjmqHQapdYZc0Q0
6Hf0sX8ulaDHnqPHTkl8Iukh9kH1AwJGXzvogDr0QJkSBtUohGYlFSrATLZoh/LZ5ZbQHlslKsJt
v4sNOhc7MM8OuqMO/ZEVsf9u3iVJSbON0SilSqyke+3HGfVSrycPnpIzZeiaAgOBE3PYDKFZFa1r
JX+KwpxgzOQUBuAQlEAKsucpRzHVKunUgIYKSNwDWTHVMtACxKHorGRUPvborjQwOYtaSbF6NFma
0F56JdIaWvcklWwLXWRyayfmRwxnx0Y4X5y5OdJ6X88ovgIl/WoK6zwqMVheZ9tUycNKxz7KEZiA
Eo5pRnjplZQsQVNmOPeJtjYn91giNvOU6sxX+rMcIVrUs51vkxQSL/ouo6hfSq29xEq9xijrJrT8
YokFeyUH8qIQummavZsbTMvw9SuSDVDD1cjiUuRxjuftnT45s2RcdibfutLR9UpRl2TzR09p7FpU
wshDGKWRLKkkeC1avG6Y9x7aPMMqEekJAQ0I2V4ZxXdtan3ylKCvG+Em5pXzCMMuRxGH7K/G37iQ
YYtniLNw4c3puG1yY8qu/33iflsyUsb89RP3XL+SKf+bZy4/9f2ZKxx8FbBosdK55jfu7PdnrnA/
4LiwgKPbLiWYQrd/f+bKDywRbbbrEgrMe/bc9w27lB+QnOK3wI0hkZHyEP8HG3bWiL88c3l28/Rm
/QkTziTn7pcasILEGg2O7uOOEuBm5zTx2Ht7/lEbK/2YOyCqoTBN3UczDg+RP71gcp6XpRN/loiZ
Gb3wnIOExaZiXUk9RhxYlQh4Iq5bhIHFI3w1AnqFpze4/Bn7LDTiAoChlrJ+NUkgfmtBVtYbI7eI
mm44FHLmcjnbhg18lbhatynBwcu0NvtNVceefZhUprvH7dS8x7wnUWkniEHHGkdd/VVzCYq2VDK8
FfmMwQmL913MrLYClGqSsz9VmfII8EhzJWY+ZW5cEjvP4oCn7HAr5HwVEkvvS+3KLNK9IK5+ZDax
tOw6XTAttZYoqbqV0ZjhVYltXS+1m7hnm1X67hFib7y0AzdfBsxFrvKmIFMdxdB6suN4UZcarNuq
O49tc9YSXMIDCxx0c2I9FwUU0AApxIIDllSISE7110S2d0j67ijqUPr1aZvfaFUyn6SZsGkoIbzb
4TMJeEundZcQhbNTb0L3kkWIwZt4DaNkaGgULrPCbuVNMrvTbGvYlC4zSqdCPVVzLuYVb7dMAfAa
gN782bFXhsjDcx8AuIvKGEK2xaRx1IqLPTChBaEGZ7UG09Nh5TaopSLtRPDZpreF4gqV5kODUA+0
V8SMNnU3FFwRK+FsObKYwqrolC9wfimshEaxssih7S2biaX0D7fibyYO/9FlcsPRntsUCPRRFLY/
F5PE2w564jU40fWw3Mh0MF4JxHWXA2Sv8Ftz82/HoXrzvz7/btLXz2/1b84/fur7+YfEQmeqBMH5
XUahav7v55+B5cw1KYRs5lrv3cMf55/ylREqoqBVNKa/+soEXQdZn8Y7//sfxXKix/nl/KPnwHNB
Fga2ZIM++Jfzr58GqgrTGc4tYSkgIZKnop8uTtETbOYFZ5TH8WdusRyGjbyXrYyXvdSo5Jzhqxbq
G4Qg5mKWGpsGYryg1bEQctj8RLX/qQ4oQcfUgRXZ5RfTS4OtTqDcduj9ExGdaP1K5xNQqDu7n59C
qj2WLCQAGiXIBSLed4lTIqilE8ocYv2kl2/m1LjjtbDxIPurhw6GQzdhKHFZhfuzfWoTCBKYcxYQ
pr7EjXsymSvr5ngOg2ZXOKJckHR5a4S6voFc3i9is1foiGLNmAZ3kwHqNVP2q8AA1l8tJbKrPcQz
yCWl2AkgyhuvRVKZsP9cdxhR1zLxt3aSMjKQGYdmad4DvMK/6606Kddd2WBAxmVKJuO0xz9nLts8
BPOkz4+W9wX646o2RlXRHpy+fe70OVqWMdnnpspF6ybiAuyeiDxrnN56HWeVcDaO1Bx8p+FjIDjk
AXix0WXNwWh+Qc1HBeuch8i5VjU4UuzHQrM+ITE5YihlhzOvbOnQ0Yg98fS3CLxzRuT2xeUT8iMH
XG9BwluaXtemd7Ej/VMyzvpi1D2xsLBKIasYHjLDfIkZYnK2krLU5+am7ESjVM1H6H/3hJPmS3vW
H6M+xtiTk7Io/YdyrK9RAeDzwk7VpCl5ruHHsdfuS8maOBwvrWdvdFt77rT4c8qYZGERQbesS5iK
s1pkGg1iUSBLekfqXGV6J76mqwHeCs/ElW9+ZQG7Jr2CbMtu3pRO0YAXUQ6meAefh3o9cLZz7FiL
Oi8+ytwGHtGoCJHx1ewGri9w1iSIYJ7v0deKPv3ic0V6tczwERZbkdqHzp52hd2SSEIAiRHKe4sO
IeDoX8x+dSP0AR4LOosV9S3cbW2KV1rYEf8nXeZWuA7ilg9pzoEUWiE+ORN1a2uXa6/MdpOe1d4a
mhU+KdS310ZXPI4N/q295J57yWibC+WaDwOeKKRsPhTVFN5OQ+3t/QRRA5iqcYvxGg90N5gQBES8
nhRcPdLKrzSOrcdqtGpxn4d+PK1boCLzQ28VYMGtfnQbElThq9/lvkTMwtLpMQIdtjZFd6d7FoDu
Cf1tblorb0Dg48LqcHJvC2qrWWnCdXGz1OmBtY2zznpfbVXlS9FbuF1mbrc05JImtpTMK7oOgEty
qSG6D1xvvHNBTC8KRAZjOH9Rz96oCtwV2uiNjju0SzLKghElVG674SpxA1YyzvVomkBSouWsu0+R
RciHi1UQjeQGNdcecs2iZsWajsUNlLVN2UOznrUGeQsqIq1vD2aYB9cp4QKJad/x6YotzKXrJq5v
xqp78ECS1RIYW+APnxrbfCwK+ZzpDt5+vyKoSrKiruZZST4erRA9QDHTxrDZvh783lvkwPeXSZiC
BANwi3F4Se4MOTKtRb9klwuj0ta1TL5OMI3K2HksqwgglvmpbuZiqWfO2cZSYncFkShVSBpONbD2
bOkcdV980sf44hr5FV9etfBiXOJt4jxkPaTbOZXt0hrccM1eb2XPmrnyLA9FZlKtipabaeLWc2be
Z2jsmwCvSBTSvnWcAoY4wPI7wiW4SiyQQBAbka+RJkkIGNG6MsKd1zlQB8xMzGs/ad+0kADTwqvi
TQt7ChKnfp37nrYGkDTtDLbCc+C/alOGkWZ+0CZJrOg4fSa+Ob6bADws6wEZTwNDKZuIdXWC6vPA
2gI1CaOUIssfItfGQ1B+jmYHUJChZzCW6p2WGw+O0WVLv+TbSB2fOOBEX2HW4NgY9k4GOM63O7yp
PB3K9rNnDLS/Wcq1hgCDsi3VA7DHta5yFyjIcDgoG3Xjt4330cggvJ7+7QjfO0I16v/riui+g/KT
5b/pCdXPfa+JEF0jIBUOA1d2YSibf6iJ9A822ZCoSw3M8+xH/uwJ3Q8mrRqYM0D7/C9Kx/p9Dut8
+BXj8g96Qtv6pXRWpkJs+5K6Gai3cvb/XDqL3sKpVGTZeYZ7izgJvxYRESNE3DmPi02vILmEmZxM
hc0lbmWnd2IboZ0MOzxCLNw8OLs5e+EO7u7QlK8JHF6/SZfEKpzGWVwFnrmbQ2ZdiUL3hk7wQmzV
ba+gvjZ0X2yT9tJ8B/4q9O8s4FZmCgecJgSluAoRXMAK7vDbAg3OblyFEfYKT0c1pi0ZGYMvtjYS
4nAId7FUCOLSi58HBSUuoBO7VkUH15HHlCh0cWcXsKaBGVsjmNJZAY6jHtSxNblXLexjCQMZDuIb
BqdTY3rKKHM/TOTlkkK+LaAn2xbrkgKesgVXOVWAZS+0HiTE5bloPw6hvSHCuEfChaBj8NwbE0oz
YRIE/CbX8YA3WRM+uCSAzrGTatgntSdP4UEK3Nk69Gfc5qjQ4UETKtHuyTDiaa1g0XCSM1C/3sfR
yW7QhqITdIvrsrrVC7nJMB5Ojjizwdx0crxM8KjJWEDJiydFCuR5qfbcmz5yFn1jd4AovR7Bl0yz
TxGU61LhrjMFvhZjfD0pFHaVEO45+rhaEjDZlbm337nZrUJoSwXTDqBq+wqvnVl0iVPX34WkHPDP
0QZKXbpqoXJ3/Bo+D5FlooDd5lBsrUjns3EFab7TkTDoGGc2NR4CinRVKPT3BAM8covjMPhfzIqY
9ciGEl7YF81A5qy19pWnQOKdQoqHCi4e1eFFYyJpxa1JoBpDw7GK710//+zq7Db97DYLky/ESj4G
HuM/lNwg/HhTu1KBzTG2uZBsx2BJzs9GKvx55OBTpWBAWNKtZkzZ1pzg/Ot3iUEeQ96NExVa98aU
p1yZNrNJ3SmfC4jrHj69q9Di064Ujv2dbpKPlEKyqRlmsylbzJBrFjYrhdM81Q8VbHe2G7AR9Ziq
OsIKixzERUaVd4sUKrxOoteVgBPfuc1zBDeeYLwLs/Zo6SikvCaAy2cKM5/7qIW8CToZjv6PJSx6
Fya9tIaADcN8zfqEKk8TK8Y4F690Lx3t/iCZKwvf3zuJ5oKkgANBdM9mVBh8BuQIAIOkwecEJD+u
wOVr8/QayBkWuELpp3yii5bHTNtrKx3avnjH7isAP4CpbTQb2XpKLtSAtBJAV8H1a8n02vbg+8f+
PkkFM0z3JlF8f1j+MB0V818C/59ciLctcQDq4Ru+x4hH1bAoBQsXTLhMlkgb53udDkAY1oh5TUwV
hLkZmvmm8ttTFF2olfJ15E75GkLCazFHu6lsmebYUKd0B5IAhgxnMdXgEo1quIMcVNAptGLrG4FH
GitAzKGnaRs6rkD++1cjJRxpslJ/QToPYtlUu1Sd/tZkXBKmnUUw4pyHsq6umxQdLtlTbxQLZ0cb
Nk1M5YcC0VznqIc2tmDYpc/1lS/0LaUm3zaf+JEUJsC1jGfwmeQvZpYWG7im+SqIXA+iMmi9dAp2
vmmPu0JMr5VN3J/H0QgJcVPJjgTb0DzNbQjlnMINlxarpUjeDXFGoK5Z3FSNvo1r8x6Z3UYW4g7R
k7EsZkSOeuG8BqyQGC8dDN7caojQm1t694AuVSz9OFKJSVCBa4uLmgzUl96eX+oW4mtjBrsg1ShE
RAcWC+Wl2XZ3pYtMu074fqUG1ANSMrN/n+YrA95bpxwVFD+hd+ag2wYV0mvDbO4nf3hMjPaprlx8
a0n3ZHrAMAQcMVitBoG8TYzj1Q0tzASqDQgqRuxCIguN73JbbueyK1Z+Il6GBOKsB4PDorVioYQJ
VZb2wquNx96+HZrD7D8PcJtDeQv/dwFw+RHA4UMkM76avN3aeUG7B6e6TEWD9t5+Exz0azF6N8hr
ubUBZe80IpDgg8zROnUi9Mcmbg1vuCKs/tJ7xs4ZoY6NLJzmSagcgmNYTPMiCronp4VOq1ftoWqv
GZUuWotUxQDjJdmLkOoLL8LfUaNSq6MnMc3bNK3jK9YOYsMe8OQxDiWgvUs2sh1jBpRSgsSAgGr5
2Xoog4OlWuSGFgIQTRF4CAI7AB/mWLy57CBOQ94SKQRp0XKe4iIbtjVWxGjRVvN0LeDCLsOG7xkM
ic2WC/ZI5C8Lzq+D386Y+mRdnPVZAy7StOa+d8JrXMOu+9qZ07Sdx5FoYIaNax4eMYvHYJNZ4mSU
1p7T6GD7XDpIhhY1C7eVVps0Xk7JCdFXoJ8bbQcA8do0m2CXh/qbnPQ3fwo+8chBbReOdI1gS10H
HqbOW+d3bKQoVsmYfh6jBDByEAKLiTG0+jiv88B+DkfE9JNo4/VQ0SmIpkDOTC/Ta0qgbrMxWqXl
p1Y/CNO/JL6z07TBIAyQBOiSlIWIcPhlkuoPfPw8xUX6Vo7xoQcQtimr8RYt8jZ2wZ5Y0sk3+QjJ
a6Kkx5GNH1hUw3Pe0gCO6Z1lTis7tR4yr7qZqhhu75zsB9Pe1FF6g+U/Y2s1bpDy3pP1+ZnD9QZ9
e75MQy6ByK4uQqs3HHAk9pgATTzRXOchAxpnxlpvt9ir4+zseCQTJn6I5JtB+boe6T8591ME5jPd
ud2ss5FxeGmbDdwS43Vu4CGlw7B1QFHCK7KvKXKf67q8Gp3UoS3R1iIit2pwX3i0sAM1LnXVH7lz
dzihGPEM4UM5Q92Jo/Q0CB61ibiK/Pbop8WTVYrnwU9UEJXz1DDuKUasL0PkATLXaJE9K3jMJp2N
FWCkOTrUZn0CCbwpBwMKYOTehlbJM1qzH7qyP81g+vQ8+pSa1qFKIGM3crqii+92Uz2B+BztUyaY
v9sZB6GGPd+K4DNbJip542rQ52NXS0l0J5gMm1DQeMiyG4lxewVfWVtoCGRXZIvNTOzY8Q/IIvAm
5dOybBwEi3O9axiIgGGKPzkDNYw7djdO2citV5PRx8y/ucoqwlkrOcCqAEgEsGebpL629aCfUnP6
LTeXhRTbvGfMf7AjJ9uyJdl7VFtMC0oZ24u59+zo3wH1N3mLmtf+dTt2ifo3RNZfftOPqR/8ox8z
aa3AQr4HKL+DXL6PqNne2Q6yGBytdH/0HX+2Y+YHnWkAezjkKjRmFjPv7+2Y/GAaisLJXkb5Zmni
/kE75v3cjTEXB6PGhhCnrQ1qRtp0iz+qtEIjR8nMoX0CjV2VzpUGlBp8EYmQTaavkIwnZ68zZMLd
7TMWRgg8b8Q0QWOfWkCOLnl0566oNPLvwC5ZVg6oiDC/Fezg/Eg2a3bHHHQ4d6NZXhGFUXxug3Y4
GNmQ3JliIE+miHGvtaPzRnAw6gvT9Tciri28sFVbfGSYrHsMl5hm1AMgDS/dJoYYVnOaW584+cVX
TUbzxWjsqFt6MCQX+cR9q7seLY1drUaDU5poQ9xkIYjFLOv8e4M8x0tXaml4p8PzCJpt6ohq3iOW
8FH+szSVYKKcHFL/wuxA/hqLnlUr/GNC3IrplWKnv61r4Q6oTmrDXDEc7/VrYFxwCqyoih+0eLaY
ZvWJ44BcVBSUoZYTZVI/VR+TrpN7s8/a9cwWYuXMhAOV08Fty2ol1KJS72vPOvZqh0kxxDozU5tN
LNEsObVKLTynKJeSx00T7ydsPd6qmM3LLCAs7wy1Ny1YoLZxGlJj+RIOOAbDvVvBjLjMMbqLqbZy
OLwhF+Zwyrx0yrVv67F/V1Ym9+hfnwh3Rfqa/yZSXf3U9+OAvRR6ccEQhhgIixT0H8YzBL3oNrZg
E2Em2Fz+6PvK3v2g/ld8yYxoJJrzH84D9wNRtI6uTLyGcg3/I5SucPmb/kMmx2rTwRGPyxiH8s8H
gulmlO2dMZ1dePc3Tjxll0iUzjMBWsYBolryQpnjbNy2108DkKFFP/fhSlj9/Oh4Q3sX6kW6ZTwd
HW3WUfD62nqdY15fu+BUUqVS6aXwrywL3o0cW36+d3VQrGiH1jo5LzvN9Q6jwRy2acN2h9sh+Rz5
er6NcwQwdFeEj5XN+DELw+BAnDe+Uq2NV0aus7R33ZLKaHr0DCyAqXyd/MxhuyDcTUtY3DFPCm9d
F8O4HFvPp2DSz+S7F/ATgbh6NuFxZIjv0Mu2i8KTEOT0eKbqYSyP4UQM5m2bZyvGC8FXJy5fwjHw
ceL0yygpDzH6MxXOQMTI7LG7wcV9E4jgWU+mQ9TJemOW+a1VVPoaCZ22be1gZpjbyQPIXGedyvTI
/KbZk2XurXR6Kx7subnuDcPf2YL8HAIikkOVwfvzi/52rlFOlSnAGBRi80KzLPxBrGJoJq9jCe+8
n/h0tE4LLxFiCHRDQpybhrS3yRnKfRU2h86IP3Lgj+zkWgIYXDteC7qyMKjmFi4WX5g2oPtLlQLQ
RwoYmxocerSBIyLB7F0tqHSDKKHj04iUUEvQFFY605pM6QwhIGBTDu5Yid2ys5SLZBy3BtJE431n
Yiq9Yo1wEVHcTYGQUQ8aZ5kibWQ0tEUsQIAnokdfqR9tpYNMlSKyaaxy6eTZkXL8zVKqycYe7voQ
4V1jsGBNlLYSNdoZkNEuR3TZI76MEWGWiDFDpcqclT7T9u2byYeaiHAzmyOqZKScHg5wNHmIO6dy
VSL2RDiDgw35p+3DepoRhGZGTaQOClEPqejoFNsC6SjUKyZALCcRNrNNbd8FUFVi0dHR1nefTQVN
Q2yD/5exzxXldsldQWzsleDBAHZ4SosD0F5JqHI9XgU4tfb/Tsvfp+USifHfHMavn2uky3n7mwNZ
/eQPB7JOBeToDgSZb1XY9wKNsxoAn+KUfPsTfurPA9lhKAOFhJqJegxx8h8FGgcyuS5kpFmuit76
ZwWawfn9HweyOo4dw9JNBFmW0hj8oKOXcZ+zwhqH85i6CCkB5W+wb8XrMu6XmTO2G8DWDdG0ltm/
MH45cjh6W1t3HRZdEYEuU9Cs/NwVlyCw16hg2chOubO09Ug76u38avnGfE3+3Bu4Nviq+Aw5Wfw7
Zjz2Ke/p5KZeVpsScu01LqV1HISPLRDrgUZpE3nuIWuNg1mLr8k4PQ4hy3YzOVcpLlJh7LwIbQFN
Y7iIMlky0hbcSZNMV6NuEozpsX5H3PEWO+bDYGsfk157AzlXrRx/QtEzMCEEsvilApNLRKN23VKM
rUB9K3Qe0mNamU8qaYWFHD7klC0/nVUbrbqpeAyz4tawg7VdQF9wJtIOqq7t10FNqOcpiPZ2KS9V
Y+P19t9mZV7Pb2yBzRnI93XOvnwe46esAoYNgDbMrfvegi6qx1+nwFR9t3Hr1tME8AAsRB80iEx5
TkwdSU5dGqabsU1J8/CIF67t6S4LWosMhsHcoZqNl5J2GzFH5+CtM+clZ/O8bPzYWzNsblZmG+yS
kN45A50LoDy+gAwwKGRT8psn9uMiIlzFKjR5qskAIq0Bmm2CY+/AxOZSNCN+PLxKWwSbe3QF0aqW
bYRNOLZ2ne9NyWMeaE5wMpo5e4obC7lbitqLj6+fl6O0QUKNEWHdlvu1wcI4hv05bGu8wu9rvPZ9
pVcrSCgTQ0dbeQK5bWQKfwOnlXWATidPYDOOUGPKNyUT+FM2G9H/Z+/MduPGsm37K+cHaJDcbIGL
+xDBaBWN+u6FsGyJfd/z6+/YcjpTdmY6b+Kch/NQKKBQLikUHbn32mvNOeYd2uR7mj8jm6v7nERj
Bm2ijM6DEevwjTskepNz6+bDTkBVJuenw/2I2LrWtDulI4G4UwexGsnx2RA5FFxnhqT/0lg4N7nL
rsNnKZr+OELRuOUKQBtv2MUSI814SShQs3K6obwNqv6lwRRzYSd6j1M3fC01ArNnY2JTdrWTAkcf
NT9WTiLBNKa1bbetO7/e6jj4byqrYrcq7Pw20YEFlFoUosMubwsH5mRrIVWghEElYm5HC61D5ysA
IGRx0RYTDnPKDUXU4zKTJYgZ4c/Hf4NAOvKJkJrUz+wgyyoc7p3JKFGuU8wQGx17geECuRgNZUeW
2fCcxMMAt6DyaU22+WYsi+RLgoJum2I3X8yVs08G2le9LKbq1p0Nr0ZJvbBksTXIsivEp3l0+unU
cGygbYkJyy4i7sysr9ej6kD51fPmqDiQNRvIdIvEHOfVf/ajb9NbVIB/vx/dvoaf/woIK8MqPuxF
VPEoxaQEFx8ga/3ve5HAXsORwbAdUGfvNKHf9iJD/WSYOh0Bg7r9fXr7x17kfqKNgKUT/a08G/y7
vcjUfnQM4qExENpp8rnItLLe3Tof9yIEaHg0eBnn3g2TxouFuMMIt43zXNl3abDSwFovTaWfUDh0
OxZwbQFqjllN7+5bM7GWpRDaOoinW0cpqk0Xo4DItYiARytbxV35JdBHJsLgqkakX1bRKZ5QuvuG
ltb1RMN/Y9UWF7ExWYDKbc+qdEhEdl8fAeaSlhvo4Xq0tZfWb95UZBdbDCqAnmPJhimaZBWNHZPK
8cqGQHRVlVm6DJLB8dSU8VftWGTYQPwhRcllXuNCz854Vc6YrOOgU4hftf1VnMlhTBd91XLoXV4j
hUFtHvcA/CBLBiXRG61gB038XDv7Ol6bscv5/0I339paqjFVGq/miIz52lYRoLgRolWqCNl2oK4U
wxH5xTkmpH4krL6tWeaoKD+3hOtcWAHDz6LtzUXvx9egf5aJVVz0ioqRyUI6CBGdvniITrbuapY8
aKY1XZuVSjolDVQoRvW2JJt4Z1bzJdiKyWMxfmC2+qWoi1MFao8hckhGEQ7a1r8NelS0A1z4PnHf
6tLYqZ17NBuUSXqjWEsGdvamTIvHeEj3Vh49jXHbLCdXeRsDB/tBixEm7Z/N3H0tc7vaaQZWlDiH
bZJbfCx9SktShEF4iFCIL5KqiZ71nPSlKb5PVDujnwR5ki7PSM3iEuACXXIxN82D1TdPjjXiKdKL
VRIwDZkCluIyre4LJtjrTE1REzhW4DXqeItbfIlNvBcM3VU6uDMWHItIXxzj3WXZsPGr9hCv6plC
vWwfOUp8RapmrH2hfS39hNEZU/t97uugPR2xDnK7X1sjMZFzBWYl4XLddBinwSUZWb2INMABpSF2
Sue6m4Cj9FI4BTdC4bxNseUZSfMiygHvPcFuKy1u6EFbzRtHAotXS8nDvV8uyzxJ1yh0CK2CqWQT
87WkkEshpeO174tw9nxyUYWkeyAU2ATwn7zQGc+i97e6mSNLyM9W4rBjROtO32UZmP6jy99sjPam
rIZ2aU02gHfrwSZ3kxkgUkIRT54fj5tE05ZqFb02eftop6HqFSPH4CIu0dDR+F8Wbusu2jhfF0l5
1PVuQzblHUicXVIFhxbqKiM0bMT6dKmnEIA6RnT24HK1j+M5S/V5D4vnKWyik2mVMOvUwd7FlX3Q
XfIjW5AHClmDTgPLq0iSmZMf1VwQag7KOS3adXF00LuIAXX5lGojw7ShoXmv+XeGbT50dXPWs8SA
JVu43hhr1hLUienVeYsaP7BxGnTtJjCAH7vWDFiVzsZg+Q+zz+uryg4FYSRYengc/NwRaH3qlXGy
8+f6tcqFsQKJid6McRuH3BmDKc4Al4912bfhg+6Lq3ZgGCSibiJipzG8pIdillTqmwnux4iiQ0TS
JTE5meCyxkeYRU+zJW59WerWfoFytEWekcTatem4T2B90JyK/EpX0M2CR32z3A4wDcyrKnd8FAH0
IMNu4+f6bR82R7VXQKmUzh55AlHWdnaVwpQY7UjZh0N6F5lt7qntuLcmh4IV71M7QtCnQkqJg8RD
kDK082Y1PM75oDDfAy8Kg+gtmP3bquT4PmmgP0UUlpsxjL/WJSzTguxF1Rlmj14H2Q6cli4GIBfb
1inX9oDgda7mq0mIYYU4EE+jG9yMIlp1urJ1/fLCdbOerki9x6iCplgLCQmk0t+IweqWqVWYa0bu
j1mtrttA/UwAQURfICSfdOhP0PHvdLM/zHbBQ/VoZfTGuo6DVV84F1FZb2PEZ1ts9Mz6Z+YdKL43
yFW+oJo8mgFr9uiKFRUgk7r6FV7psR2rz/MYrGyC/PBvdEu03E8Fzjg/cQiMHXzkeWQltKymQbs2
ei4ClfVIsFPYUep4oMWh70z2bdlFx9kwX5OWhTISVoF2z95ycxNVNEdHTQxYSRr3XIMK2ejGAHi2
RnWUUtjbA2i3XieSiGqtNlESWjIkWCUtmL2zXhVR2C0UStyVyqH07Mh4YcU29U3d1I9Rot2YeUey
0+zeaXb7FMtwYualI300Lg3ylzVWEOa6xBkL3xk3tVuveX0vTBzpmjvF10ZmILsxpLlc5iJDnTLx
wlaX7HkQzPnZUIYXrUxTbns48CX5ym7WffVle0a1q69ERJ3jmOx2X6Yyt+jQtdLqSFIisRn9VO8R
NkSKs8xz5i6rlr5jnkJb5S6Tqc9KhAKBGOjJpPVks07KfOiBoOhJJkZHSvyMYv0LfqClCLNsg5pr
Qx3Bd+D3NxpjwGXVg7SeFXtXtiFbcU4CJ5gRGzfuPBHUqDVnWQ8HU/aWqEmxxOJ2Hm1E4IhLDipa
TFC55RtSkGClGu7TUCjaSqlIsQ5y63MSmiacYuVRrTr/ipjBI6s5yM6jASA9jAwToXgXOjsVjXxF
/CqhYdaijlTMQMgZ+nmlkgsbHv5TR7/X0QZl79/X0Tft5zxq0s9dQ9387lD/w48uH/l7La1KL5uk
duioDW2NRvfvtbT0hlC9GljgTI0298e+jopnQ8eyxqJlvf/o++DN/kSLnQIbWrtFhJtl/ZvBGyns
P/d1HJVKnmIZSjEdbvWnvo7iKCKpiZc7d+wk8xF3rBmfNJRZ+qolOuESpnmPTTc1TyY3IVfXF0OG
h9V6dttrNAMyLTtUev2UTsU+bfLriNyxVgaQiRgHCIlkEJsxfZNRFgiwTjWpZaE6PMxx/upG2CCK
Xm9QVFvFFVDHtZaxAoXc5J0fJuj7MWalbXyEG7sYLYdzpOhz7UVHXjX2DPvXQ4CcYMd4sY5Q8Vgt
FlNNYbStvs+Xs/dZs/8+d7b6cmfLUXRlI8B+n06L90m1/z61dt0gNA51HDVPMTG7XtcDhiIFj5g6
YPzxhd1QLy5Tl8pzBfKWlkPj1PEWiDu3VVUD+2PoZrmscMP40lm0moY0f7BLcN+0qcgQBwFZRtbn
0scQYg+oKWInHdaczI+MFaqljriEXKBoVc2+ugjZFwq/v9NV/14hQbO1levezpZ5P+yMKffQvB/G
wTy7UkzjlATzpPr11ESfWQ0v0g5iWtF2RwIz84WtQLqR9H+8j9c92lUUsavcr05OUL7poqbLMGyB
Ge0HK9sGfoVuNT9l+njqCviaU3PthukWTt1dwtIZmvbW14KzFfa409PyJi1nOHlSVaJuBrO5rlvH
E+Owiy3jIbPhd7rOZ9dp9mk8sGVmEJpi9y3XsB6k1knA2hoKZ2OU81IrGhhozSXizye08iQiOB6S
0VWO3mYuQOrQ5sKpcMob2lej/jDT0umBUlFHnTiWYalBCBiGp9gvTo1wcaSYRPC2exI0NqWlPutm
vHai9liK9iUonHglRQqB7d7SM+TIom0o5nGFEGjaueqp05myVvGpBuZYEbBLwXNnhmKXxvIbRnIF
YHnX4J53IqKs/OrVpY/Y5+kD8Rl3hRpet6Gy9kvzIAxnjaT9pMaEZ1mTdhiM8YWZart0c81Lcu2A
C2WPRJIzUnsIbJDrEeT2MdwVDYcuZ6pfa1tHXTVe1xO+Gj/ozSvbrDeRNYQnyzeOk6nDNklxpcLe
r+hw6oWQHig+L3Oszqpl4gzhkupcY5f2jbIE+8pkoXG/TsF4UkfsL5kguSC4GqvW8kZwdsBZbU9U
1XMbT1x+wmJr9Ddj1U9rRfjPc40ABkf82sm624SaRCjQYRKjbfBhziiBADUuRMaep4S0mspeyVd6
qB19w7g2auzm4CjJzhv5xvvYvYxLZdMYmVeCzOVgmChLpYHNRSjBsY27TeLDEiSSQaXIhutGInmk
Mxhzu+ay8kMMPkYD4prhRjg1CI6jM6C+g6iUDTUOeZvVqdSlt6vKvpRGxpcxKx529MGLfWK0ota6
Qqmyw0EhvLqIBaYyoib9eQTuAOivwLu31EO01XFUHrKIgOYEbH6mF4+tDfwARAIC0Ww+dZo4jkn0
1RLgCRRHxyaWc/6TfWeO5ddWrt9jf9qT1LR1lC5dM+wul3D4jqaLcbc3WAEyJS2XbpmjoKn8bjFE
ZbWOu+lQVNqwsER0TpLqrrc6C83jeBtYYC7kITvH/tI7yRkEiLYMq4zyuI5BhGT5kra3S2NbGQ4E
XqUXoUmWwX/2/m8zHQQov9j7P+f/tXiVOpE/7/2CR37Y+xG0mGzX+ru05uOQXftkGRg8GalAcJPJ
s7/PdEBvO/g0VdSyjG0+gOeFJS0VkkVvAZaSFcO/2vrtP7XRXN3UVEQ30hSvE5z740in6SaTAAlH
ISmTFkGK9zDy6eumFpQ8iRJO7GmrNMCFYyjDTHJQ5Erw8ACBmLSfwkthEs8SToyBOl7SNmTyK9HF
lYQYR9CMB6jGBXTjUq2OSDJ3+K4dQv4AIBuQkP2Sth3bIhUEHeaWqFIdkoQJPRmT9bKXOGVfqFeu
ymFzcMBr1nH9oI7224gceB0P5U2mx3e2Jj1kCYP6TrHnFZLDR6MrOw+1gJclCJGJqAcvWyjrHG3/
AmnhZkgUphM+3lDSMfbhbA9EpfoFJ0Wwn4rnj8ZzmfbKdBUPvdOv01EbOC0XMqqT6F61HBeazPR0
CffE0u6uSw2KRS+TP3VGAGAUxaqXqaBkS112MifU5VSWyeTQTo2/tkSJ+tT2wLgdcyHaU8o+3xQ2
JrzBXQ4uylhlKm5smUuqEVAaA3LloAjVEkQmEUhFzyi4afaVmr9UehiTZJ6GhbrCTMlYy8oMtqwk
SAAR2KaHEfxWDftVYnfoEkbsVIy8HnOjuKeDiG1kHosDE7Rpqdgue617FkGJu4U9VGs2GcPi1LX3
o+k/oh1jV0nEtCvQuRLrou407HugaJsJLioqWN+iL6SmKHp4PQ9O0Eb7Hr/pquTjWziaT9rIILIz
jKxb3Kz9OivZgV2YtMY7nbaVoFrSccGH1u/8Wm1wjrM+XakNCeSq1VTM7XCJ1qV6E2DwJXcdKmQt
zhVkXAV2L2O0KzO2d8DhN0nfbVGbN14PU7d1svPoQpAfdRSjUHeNjG8eGVcYm92OEMUHEzwvR/jN
wHgok9xeF4DvCMi3BOhbA/atAfySMr7VJPEXRVO5JICGlik4YOpQuMAaEvfRng7IqNULvvJ40XXx
a4x9sK95bQoBmytaEObWAjoMg2gjgBDrdbbyJZW47dIjlrrrTPKKJ0kuFopxE3XDS66gY21u646G
mFu5VwHI4xL0cV7O+9rS7lU3ZisDjtwASY4mpLYF2OSoSZ4zyVFWbGtdSrKyALEcStayJqnLlDSf
XZ8qTM3QsFnzaQDQTEv2QWcgVDSKVwBw1h2TLqEKoF6inYPwPIB6rupBWj3uU8mAVnVSpiQVOkqU
kw8mOqYY6yQ3mj7zSy9J0tBiDq5kS4ODukhTfo0u1CDp00Od7Rxw1H2bX/CbM9BYIfa2ZFYn7/hq
alIOzO9Q61CVgGvFCp5ikNdE3NMnlxBspdlC+H5qgGMPLiFXwLJj4Ty3HIyzzlCWBRMyoVGBg9eu
g/JxkrxtXY5xB8M6OKC4Ha1KPQ16K7Qc8RiB6x6aeplKfnfhGFcCoDcDjStdEr6nuT+aPczvEfi3
n9fOzq3LbQgWPHKSh1hPDoHa3Nl5qZKNoVICGp5epscQsHiidg9JZtzUkjiegR43Mm41tT5GIMnp
xXW7YELWGIMrT/Xqgu7eNRfJvpA88xCweeNDZZKk867rHzO98mbJQO8bFYbEcKG42oUioKRXg8Lx
AKsa+PS2rnYZOPWhx9U7J4eR1I02na/aHoKrnVVHAYh9LLlkHQrNDEQ76qbnBKuYUZm7FoR7Y6DD
AemuifC+b6IbE9Q7AtN0YVo+/jgYr73zkqjlTpN0+BlMvK/XB1Kc97nkxzeA5MMiuYgAy48A5kED
iIWO/FBDfrSMMcsYfbTOgdKTjHARAan/T23yrTahVvin2qTOP9dfo78SAQoe/b0+0Qx6CbLKcH/r
QPzRm0AUTFsAAI8q53bI8P6oT0x+QhHiQpX43tH43psQnxCwSNmeackexb8rUDSd+ugHESBCDuoc
C3gFqhMSKOXPP2hO3NFUSpfL76TgdPJMKVZ10G3sLClg7d+1rG3V1kDYJwWNa5BIvas/VE18RypH
vHLfFbG5FMfmtI9xyFhSNDu+62e7b2LaYKxmpLVYV2h9LKpvsltBeH1FXKHU4zLUrBHntu9KXadt
Ef4xl6KuV1AtLuZgjm+zgj0cxUSsL9NEnW4YFZBWrsdxuC7LFPANgJ8tueTox8zOvs+1XmFeFLf9
fZm5tEaFWdIcNBgLpRx+yA1LROlciqQvgRhU8ZNilqSvuVobLAAX+OgbtMBZ4NOnydtUTrfM/DkL
lk5k+Uu30Hd5oGbLTMTdUVXs7GRbeX/N/DNc1V2iG2QW5P22U3wTlUjlMO/CikXb0S2wBNSdNS5s
JzJJ29NS+xr7P1OGuc2ibVrb85dMV2TsnzE1+XJS2QT1deeaMdN9Q3QkTji9aDcmchOFvvOo9E/Q
+zVtlfSEEBr4pcKcDkCIVBnZMZJN6UgT8+ySYOzwa1NZBxsbOdBVU/fxMziQ5sq1G3sdp7gHFylA
ottsKE+uaMrhEu5FZ1/mStCrq6BRiwxPf9FVu1DXOv/sRHr8lEBWuh3dLkU7Z3UI9IZcjdKtKvLW
5pxGxPCO3ns87jM7MoZXa3CCV6K87A2JDD6JC2EBYtyFG94ozUSrBOBu4kTNY8gZuz5XqCHYotrF
f1aubyvXr2XLnKrW0Ma+RM2XvzpYfVQv6590B8iqoZqEr/3YVBWfNCCdtvuHduG7WM7+5OrIEJCo
//6o7wsXFghXqCbGc/TN8EH/1cnqz1I5R0bfmvyHP4qW+sdly0xV1Yn9ej7P7UPlYNr9foX8LQla
/oU/IKLON/O6o9JV1l2ZzCtfwYeFETGNVY6lQEw7KtAwMP1Fi8b82vfbD1sHtcEUFPkviNx/eh5p
2/jwPAwfSsiZpnY2ZVJYfRjsr79+Amno/+U7+ekMGmhVrnfcTWd9tOmD3NnuG6RE/Mn4PfoVzLll
0z+VxFlGly3+Zy16ZVENgku9QAUNT7TExoc3PQA0idXSuOriG3IPvRH/8q9fqUY3/pev9KdGORZd
HwyK/CzEiuWWWe1D10fLQjPOA6M8JkHgk95sRV9U/E/Hir71Wv72O5dazj+9AA3Zg4XZxGBL/An2
lQOla3vVns5TH0cauLk6PSS4t9rlVBoVvSOYroTcOM6+Hkmq74ZrDcoHK14BqlNV5mXNTAvyEl4S
OcvcDyjL6k2aPeqZ2A++inqTxrp2N4os3ojEjXGIOy39K4QJVr0rOUGS/rHW2olj1bQJ53NvRass
QHKM8aaz5k2NWzQjRn6O1z6JKEy1guYW7OlRtOmiTiyvh0qmD+QSmcSm0+Wf4tJLzNuirCrPYmw9
41GJJm3Zad3BVqW5cztVjw0z6EkRlLf5BdKeqzg+xmO26UFs32VmuijFTLvcvW0NtA2gUOIeYq4Z
BQZw9ApdjZMZqyJJn2DOIcuGz+aafuMlgfFtEva335CQ38Aft6Vk+/5w4xs/3S74/Zq4HZv5rG7E
1t/Nh/ZBbMhwOTcL7dBuqyV6GM9dTmux3Nf7bF1445OyS9btRt1Yx2gdfwOU/O0L+rHB8+dlgiLu
4+1rpIwCMnnJFsmuoCMwMH5ZVOtK/bZh/e3z/NWVyRTp9+XopwUPk+2chhwLz5i509vxaxVgJV0a
ukc98g934Y8f8be39PEm+Lkk5PuohRvp55C21CV5Qh24Gc5zDWXFMjjjhfr1E/64lv/2fII1Vjgu
VfK7ce3DCoj0arTtVOjnAVhqPr/0yuWvn+CvFkDtwxP89NnRfKEaC3T9THZth2ViwMk8Jv/wLv7p
SX5aZd0RqclEz5GB0cVc7VvrVreef/0+/mpL+vg+floeJ/ZqSIumfta5t8d0oGVz7cbEbI/f3sv/
tKnrGH2pi6Z4a/+P/MtfinKqoyBs/++P/2y+/Tt4LSRq/Id/rN6Hulfdaz1dvzZdykO/3RDyN/9/
f/jbaPh2KoGXf/6aRTmNz7aOvrT6X7SO+Vp+fbDbF5+rLsr/+qHfT3XQCF1qIvqteDp/pLFK15dj
4QyEc469S/q3vhdHzidBjYakEzj6b4awP4ojw9F++2M4FP5V5KOw5aLzwyJJkUVABqREQ6gW5diP
ixLasmwcjak+TwrGSYhZnca2lOdODGga7UZksBSGjP0sxlwcFEwmcEy+5kC9Fr5xndTda6GW1WJk
SBb3/UXI0KwHMZeg/lEYppFadHAYrs06cKmecdtUioOaQi4QDOKYhK/9wD40DOiKSblCfXNnT/mD
ycTHYZDnGIggGewxoNklDPpCAlNRwImd6YT3NaNAxVCvpiQ9dSQPEu12GqXe32V4SGIjBx8N13dw
Z1Y0cXlHq7QeXlzGjj6SwLYWzyJINz1jydy31i1jyt6oTj5jSxc/PLqQZRCWDB8BghTVkcbhg22Y
25DkNJdxHtamc6zFJykJwbrtVYxJQ7V/Yox+GYbdMRimJcKjjcFYlew4FKfkhLtvDWF4klLRkUbX
7WcGsqj+wMsYD3Hc75TG9XoGt2EwbxS4bxkDXausb6ZmAg49RueAkW9iE0rICNhssu3MSDhz2heE
p0jV8xNm1UPP6Nicu31WT9uuglbOaBlr2okiBmeaTMw2ru2QGbTDMLqVU2kjHY6JnFNrE+0uP/ks
CgNCC7Mt8LtMWO1zx4g70DNvDvpdPZMrxQg8dsedxkjcyCYmB0in8khbVAzNfRncFso5uuxsEe09
wG9jxp5One8VjN3t9/l7NW4cOZEPxpJWZxkuMob1gCoY6tbvI/xmcgcQaO+jfQzB4a4toGifjXke
SQAl6Uxs+hrDiQtSyeultUF6HIoKLRGHyeukaMt9bgGNaaQnAqEtU0Fz7r1+0uBcj1HBKIB4M9yw
8bWu6ZiIVSo1rBZxrpH7prkOJkV8GLmO8V6T3oy4tOEDS79GJ50bxGGaXoOZIzKmymvl6uoLK1nP
0vNBGQV0GBsIbHp1lVgUbDEWEXgwZF3Eb4P0jriKfqtgJingjSDyP8+6uTYwm1RNMngJHg54xa9w
xY9O3D4odIfjYy0dK/wu3pUSVJLAzhJJW0uR3Q/S51LKqbkvvS90Jcm1K42XgIDRhSodMmUDhgqg
FJAJEDb2GH91FawNvQHnrZcem0R3XoPSfc4n/c7EhMPrDzErqIh4pUNHlHRrQ+naMfMYnENCqd0D
6iyx9ggnOvdYfdBQ3Rvj9NbZ6j7GCmQUYbQeFcgQmIQg8qAPS6sTqJVqnUknkS49RQXmoryUEi03
YXAd9sLrDFA8g5Y/DhinvabKviqFBEuOqI/tMMjXcTLufCXdxCrtYHfun+YClSNBXudItV/CfnwZ
jb5GZYrYlVkXLhOarzb6icCpFYg7ZDKWKe13oW/8Qn9sidxbsEyB4CEUIED62VnR4xQI/rhiYDet
Ms9ycS517YvS1V6jY7oeffyNuf8g8JGgc0Yuqnf4sQh9wyqlL40WM99cl7chwxZPjadpRSaqtAb6
jyIFBOWXvs31JdYkSQAZhGK2mqNkgpfPbVkTIc3LE2+ZiqS49wMX9BAleRINKKGrHemKFq+t35dO
cx4zVOPT3AErE7shVE8hDa1cVfft4JAWqrgudEq4L506HpJQvRmC9sLMw1uISeoC6buX13G/cIxB
eNaoHCJY/Njmk7sauSxGrdL2UAum3U0YJvm6HpogXCqFZCpVrcp0vg93BpaiEEvmIkdcviEMtsdA
BYskb7JiPXb6vkmmq1LGUtvamF5FBee19y34f7oY2bwWMr+k+bH4+F9di1C//boWOXRR81/nl6gp
/6pZw8O/1yOQABmAm3i8ddXBiUiJ/UEBhwJGpfJwEYu+QwK/1yMETbs8xuEHKNRMOSD/Xo8Yn0ig
5mFUKmS6C/1foSd+LPA5s2Fwd/gvQ+fvMUb66UBR6/iW0O0FZyLqsO9eRMZv4Oy/PR0BH/6h5JH5
aY7Aogmnm0Gg8+6n+XgOy7RCdct0Gk9kyO7ysHPXIxF+9drOxuMoRmsAtzo1G65fIhKVkmmy1jrm
jQ4EFZIUwpGjXdtuQ1/Xr45drTioRTphVUfLUtRxZTDJD8iR1ph/N4MKG2xQS9x7WbYigw4fMy3u
TU2u5mrQLG3D/VWtmmLgkG8xq8p76zIGM7FB06R6XYE3MSKWgiw9BDHKJs/IAbvJ6zl8y+hYr8W3
FDunUZUVzAaZbuem/Guloa/RVqGRqeIGzi1jQZhB1VU78iqial7PimYulDF8FKV2gZ8BW3vKCpQQ
Ryv6asO8/zDgkV/YrXLqwv7eTMRt5TY3NdmkQd7fW0BqaKugEk4i41DVxiowqgMZsPDrg4TIYAJf
gtG6AFu0oMZ0YK+hWo5o+qvsGXMx7ZkZPpVxTD5uaiNNK6pzHVnxln3+0I3qS2glE1hS4MmGj4TQ
SbXXMC1Sb3Ld1cTUe0HujE6PCWRWO47mJhf+fFFN5UUP+2bMkm2rRMEGpWSN4noml6UkfSc6ZoNs
GAkypSnuQBLUO7+OrkOzYh/JTVBnSkKBQ28rANmcN2O9qsPspqjbixAlHVoA1foy9bCFpjoYlniI
12PJpTpqyM2ZOVB45B5U3t1YVuijSTHXYjalBAo8+BaYUUFsSiATgszRIDw4R5cEzFX3Mt9ol+rU
HivwUJhg6x05p9OmSNVXw+q+QuN3NkziM4CMSJMWYWJGV2XuZIxLjcgkA5VJnq0pexevwAZH6ZdE
CXezhT1Ws+/Qv23S0Lekgo3qzJGUzMOcOVd9nq9d3JZx7a8a6JmZRQ4PacUbZ2h1rxJ88DCUto3a
P2gzKSylGUje8jOTnGOh4jWJ6nFPh/Vy5o/2GoNeJ1zMhraBpPJZbwgvUsYdftaD8NH32/ej/1w4
857IVGdtosyvbRP+oIZuAR0e1UzXOi0KhORgYhYJ/FhbCnSkC1JrntJAf5IaXJAv2sE18gBW0rkK
t1NmwGCcO7BJc7W2Q+XWGZs7I+nJEqIhYYZgzXq0IWpE0Z71RGrTfuFMht681+5LJbx1nOxOKQtY
0cNa1sq6Pe4rV9mPI2r+Jrb2VexuUgu1mWM3nig0ZAqd0V4bQ7zn/V2YsfrMbg8kTND4JQ4+XOui
jE9kCSXbUcn0p2Jw7MfGKVDbjdPk32Wtn1yPvt1wbEq1Fcj0Gql7G3qVIqOI0zZYhi052ZWuqN7A
bXHoSzM6dYZ0eqR17zfLrrTkHYY/q1hUriwJK995mS1wxCjL7hWqk1XfWBxnIAv4adkvgEg0XMxC
ciC69ALAIbxy3bxuVZVohWqovKAvnYWmxReE1N5kZQJycSgQL5ZNsE5c49GyyCW3eq/qwKfZY5Pv
HU42R79E0jLO7PTohl+MAKCXBS+bWw4BjWHeqkGZ8DlOaPOn4BCDNV5MiX9FMOhLN7rL2I89J9bx
pyjqjW/xLYvyuekSBnXxto/bN7sezqlJFzNAhbwQQ/qkxx0kUvuZI+MCKKW+MLRKjhpj+s9N7ixi
tB+Nb3rThLsMhmNc6V8zqx03JVasOO+feuET8twS2x51z2h912XN15wMZHfZD1re3Jsdh1CtIMBm
jG/GdDrk7rBtKyQ9yhA/BOG0iwZu0XE89n62CTLa3WpqXbftfMbz/DSG5qmIjaVj9A+DRD0MhKDa
c7/uDU43o0qGo4HCx0qe5yoC5R5bG1qlSBRTjqqtE+2CZgxXocjxK5vWDVkXfIIpEiS8ZrdVH+1b
YRFjFalP7ASc2GgnKlF+SUHYbos4eDCnCpWJWm/NTKxYbjyqfILRefdZaB+czt7WSbCHZfnklj2o
omJZIlqEXbBFF7FoyPVYZHryGTm6ByN22xEVv8Dk8Bkrw57P2ovmEcOU7u6NbrpqSpWXaTT7WFW2
tWk9+6gQek74Rtvf+IbtoXmb1wAIkKdH4SXhAG++CiB6QoqgGqg8dTwwrpluKr+6zfJ2RolbbPug
r7aOm00HTRNerOuEtEfPlg+PtOZgoOtFu84z7JKFYQyXyPfChVMHYpU49WOuhsFaUZ2z6hKJNORV
JdOaiDWCyLc2LesLIFqYLQCqH4fS4nph1LuaVMamwojSryNmcU8XWWih2NKPQ9j4bx/qs8s/T3J+
6gDKnFhDEDhHFYKPk9yJH7suWmJqWZb7yimOSfu+T9wXw9z8955CVlofWqUTV7GVYDg/qUAqLU7w
5XmM/6Fb+lOX8be3Yak0YonpM6XY8uNzYPWbyISKgrM6sMvbTNhIR74FQvzrt/KjKeI98FYmCOpM
TwBv0C778WmCIp6Enfw/9s6rt40lzftfZbD3bXQOF7vAMlM5Hsu+adAS3Tnn/vT7KwUfS6L9jpcC
li9wOBeDGVlNslT11BP+ofXOG4BJBXVnhUO4VNw2+kXXYlZeUfgYT46h/5QSOq3O35YSeDxOy2Z8
39UUv/lSRTy2LknQIdPgd/yoSvWjilBxUgE6ClYEGguEmr+7mhZzYnghjoP/J0WEkBp/qSLMT3T3
IaxbiiU/2a+8NHifjxO94V/m+DSx2RJv2ppMnDnKiOzRw3zr6+i4UoYpko07PW0etOkwsEdYSMWn
IP0cQKuek/Ar7CNELOIIffvRqNeFoXxvMxld1yTpjrAQ1xBZi8JZLTcrL/PmmLoYSIFkgE/TBtQl
niuhFX7rXHSVlZbA3aZgt2IcOpDyMWxcGgfnAgz4rVGCUyw6DQ4A2fMQ0S7zavwHgs+40N8ktKnP
LYHIROa0mzQCpSmTTx4lADddHUvFyHEu7QhRaIroLZDZZuGpUneTFs4KOv5xmPfDQu7TuVT1V8DT
z/ssj9dk82etIK7rxdKQK0xkDEz5rPLar+ghlEN2WhkWHjK1toxwesaBpbof6HYhMeG1cwtl6KkW
uBhuFNfITUB5pg3g6OWkKstgDX3xq6L41rTru7NWWJfbo7d2+4LUssc0PQuUWR9hFhOXQohlvHI9
ZVgZksLSNEF7HAegSBPDO8Ng7sixcU3At3s+1tJDGMY0KgquLy8Llt2IQnnhWqRHbaQj4owXSYPx
UxMDyPFSmsjA7GOamxNAhVd059A6eVDt7LvF45pB6GgXWGz4SrXxQcmiqALKVbdqQJqakOQNFRpo
4IbjlplmrKMIMFQrO3OuqP2QK06U06IP+7lcKPk8QL1pprKHl0j03egjkqJR68xsybjF09Y5KloI
SBYdOLNwz+SKET1uiws3iI+rrL7o3GxWx/Iy7qBJA4FBHC34DE9FX6Y9rAa3YkzuxMViDKzToRju
6Oct9LT9qiOntk609gqyCHq6Y7flnft5r8Xb1iqUc6RwGMUqw0XYY8XhRv6pA5bopNXKb0rpWpO6
VFS6Wan51ZcSa15Y4IPmQ1rhHDQujAgrD9o++ZnXStZR7mXVZV9laoI4jldjRpEzSqaOfrBzuztq
DQ0/e2tRoscm8DiDoSGN45ZfHB0YJkSolR7lvAUdQzqTq7IbSFMNlthGklRK/PFWyzOU/VX69lpu
XduFeVwrwzb2i2jGlXgVu753bI7tfEzaM9Wny+3g/R6ZVCFp5T+EY+7QArYemAHCqbYBFBstFtWZ
Ul3WRcYSl6cQcu0ZCWOOFHaJig497SKiNkULkR1ugzjvB36jxyk07bxhESru9zh3L+JyaKDe1DIt
zAZrxYZxKczX4wIJufkom8XKa5AMhgaLiPRRF6rgqVz1S5jTcDPNukZ+QpJP4fEaW1l2o5tM1vNV
3NokqErsk4Q8BuV/biedFOI3t5O/qerNjpuJ3/rpZtKE1QXzU0N2LAiZf/e3hFoKWCSkuWQolnSq
XuZtuvIJdS4uJXE9yU/+GM83E0IqYKsRvcBzWNb/dOBmvEcl6EAxxTVHvqSi58j1+CpnEm+OLkWM
K7CF/4NOn1mB8U3DBYfUQjpHjIMgS0YcxWpPnMaWc/BykJaMJNre3mZwyfGaudEFuTxVQFQMgnBe
eURuW1vZcbMwYaQnvbLCvWCe4NbLFDuZobHypTKQeRBkdo3qooLd7lvh6VA3W4hy844RDqRwylj4
8EWv35s0qzzESFBRgjOKiVCzCmHRl45zXFG7Z8wqRhXrUa30J0g9npgAQCx4+J0g5A+lHgBKUTcx
gCiafXfMxoyF5boNjSgI/aUSe1OHMd5EN6sj5n3twob/XwsdAC2cR3547QqBAGDo3bzNe8w9dDqC
qAjAjJRXCR/uWLMYMo5CbEBKkR0gvp07WvygCkGCQWV6H3iRRsvGvSnjjGPe9DNZCBmkVXgaCWmD
wFOjedrmMaLhFhiYPhuIfPYcrdojX4gjeKgk1EYpHSXoJuB0cekLIYUUMUpAowxQjPrUQWuhQHNB
rfvLoA+keSOKdPJiOuD2d0UINeDaftn7aTLR0XAI0XIYqpy4JOQdGoTypwOKDyPKD6huzDohBQGC
nfINdQgdfH6IWkRVoYYeojs4U4WUhF+ZYE9Rl2hQmfBDPr8nhCdGIUFh5voKexGcloU8RYJHRIZe
hYQXRufh4BtUOCYKOQsZXYtABpo0CKmLLPXv0Jy46ksMkDMbGY5Ra5aeEMgohFRGPTjQV4R8Bs5H
zgw3CH2ZZM15ltnUyS5/d0Q3IqUvJjI6HAp6HAgonJSBE6xR6aD5JUQ7dBW5FkcIeSBjBucQbQ9X
y1ATd04KIK6kLMwGPHRA5DD7UoQFpgIxfa0mKGc9FlGm0AzpWjIHBRmRQpEvVGRFcqPDt05xj0sE
R6o0v22kdplVKWj3bAE1yWEgEiArV7XOXDc70MlCwcSW2ztK723VMqZG4gR+30BnANWT1ERgfuBb
IYeSCV0UmLbXNkIp6LQX41ndnrpIqAyys/aQVFGQVlGRWKE/cS41dKdaxFdUkTo2TTlthC6LCkNz
YpLfsEHRsjclJBgKbKkzoeiSJohXIjeY0ClpzFkit9/9qI9mfaJZc1WowmjIw/SMZ6DmMsXtm3Um
FVjvCS0ZhIHXvlCXGR+FZlTU+yd26vRLulKkq0KRJrN8mLhCpaakB+YJ3ZpMKNgkrf7QGDQ+GsRt
Mq29A3Z9D/UqnGdC/8bTuouhCYW8uslcqzbrOeEIwRz6Imp5rHpxfUzsIW2zc6bXfcGoM03qtZEm
oQmNOjeNW5yabXvpw+hdNjozT68rUmXSW305okOEf/jcTiUdRbxW1ewVmIcBVrSGityZlCZDc+3I
iVJfd04pacdN32DGYkBluitHXW3PozpfZR7JXx4O8TzTI30RoIY6KeRxo5TeVQWfbFpH/ZGup82i
lEpmzZJ5bFg95DKGIpMmNu+LLKtozZoQLkL9LpJMe+q39GgVeTSPtIzNHKUIffDPcYQxsq+5q29g
eKmz2gYDp43Fd0a+LdITGf5haUePUca6tqyh2Q5Rfzrk1awPnHAR5dKpnpaXktscJ3b2tQ062DIa
yTPzuEqhJ+7lRjyttP6IxpIh44/nWPkmiPA/FRzAWjXwyQV5S5bbXctqeOZWzokUDl9iX/0+KjJP
8YzvUZsw8Atm0nikDj0GYgbNXq+8inpCj+xjK9jPeng/vnUqYyswc/psg+nJ2od7Mu2l3kRRaER/
R03OTEsYFxoOlYgkXTJIUmedZYxgyJvTEc8cx8CfgFXIV1ZaYNdNL3ip6S2xHSFEywms+YgRK51t
6aaOZqPhfVZLeHO2HrpgOKip7MjpeHOmo8IBThsdxtVIWc408BrTzsZDKelzuP1Zd5LbQm3XZl7t
KdZ50KWnTQz5vscM3KG/XiUVuVm9MZ0OS5w2uh6ofMggqc5cxDum0JNu3aapZk2HhxOyqqEU8Rmb
8a4pHH/BqcO5pUbZDs4DTk5Zva0c55YAvZAx0okSv0ZAV1tpYXZL420pBVY/xcJ7TT130YIycIzs
W8BFR/tdPtNl2tcG5w6XRhe4jFJODblce0L8bKg7bwLvE0WFKFo7WD0xE0mnoa0Wy8oIummgV+dR
0FyQiSxStf6rTRisRwh2obzMBmz0fh7JmB4jNIoqGH4RSwnnkim6ZdnMjNplKknK0lRRHKlZ0Gnl
x+dyjneFbdVHTUopWJjOkVX1tzG0OGYoXIKELCjuiM4g63scI3E5xZIG+AUn7dhTVNQvcTKSKvA9
dSon61GNNXTGXDTKtMLFOkpb63pw4TfhX5Kc0XJLbVzmApcAZ3SrMVE5EoZ9oZbtCJyCCbiZ9fcA
YD9rRoFIo3U/6tp9b8qLvDLvssi7Q97QnNUI/rpJfidn9krTy+vOVo+1UGIUMERTOfaP1bLboMa0
bCx160TjkdcEl6NiMT+v5etUF0EcMy5ivT/9J+0GZkY2TP/kN2k3DMVgyJodiTe/91PiDcyeZiyY
tmfx2x8tIe0TrADmxiDwsS0QfZ/nwbKufmLaTD5OvkYrCZLPj5YQibfjqIBscISTgdBBiH7TAvpd
Swil3bctIZ0+lYUWoYq7AR/lTeKtuA1DhdLMLvpS5oC1eocNjd4yrupWvkUkQqShBx7Ryed8CflY
jhOSSvwyojUau9ldkLjVKW0vtJM0rbgOCRwro2+qsy5y84e8Zg5gxW1w4scWtEL6HTjLOlJHE4kk
8KIqk/q8CEP9iySb9UJxVQMDbVdBTTp107MI0M2DjTL30MeoaClM8lSEXZYjAoS3tT0YX+KW3k2n
Gs1pXfkWaLgUMozVSNFCMZC21Rq5nvhapW4zo4nvDOQLV54BnAxl6WrTInE892U7QC3FwXQlxGSB
qW5+2VFgx5BEF17g5bMWUinUUynV2/sMhId+rKTuOPQIpUfNkglgI211zwn9MwiPTUEKW6XlueWT
Llqe0vvXfugQ5bumQneUIGR1Z7ZDJw43WJ0G0gJ6pG0BSm7zjsECWQR68BJGWpOgiYdvYasWkLah
cDuF238xO6HVLllGxpzaTBeebxpHQwPaqu6ycQNonQwfmS/52OtQ2w48xVm6eet9YycFUzkdx41b
+ePWDPq7UioWqRccSRY9nEQhp+kM2KJS3nm0J5RmWEbMwwh59XASZT3wptqJ6LclGbPWoPOCRZXU
aBMWbUJiHRWfdQS+1rGj3GoE6FUu0WNHR6edGIC9MMCtzGvbz5N1LdXOLXx786x3CnmGUgWOgWpt
ZDduJYNQaWPnm2R10hG6OtYk75NzrBikWVm34H0k+nnzLi6Keta7ARg+KavWiOunV1S/gN3IUr56
xL3Z6FjhbU9ad2KFenhakSAiFYfWbTeKQVg0Zl/GppeO2bzgkiycN0KvdO/sMeluUyx15k3WB9dI
neQXfoslaQrfMJ6lut5WzILwikcYxK8pGI1q5oG6hNsHTA9XCcKv2YIehCncd9olXVbbY5JvKts8
y8dFEYCnc4jtEzBIxj8tkCd/GYPA9OtYfNPEm3L7PhKL33qJxLBFGSoB4cGtQRHGnX+3QED/GPQx
bDoEQufip0iMnAU0KQQwZMEzeuqOvDTnQf/Q4odPAUAYp1CC9B9EYtV+zRog1iOygWYVn4F4D6SI
S+TnFgiwGblAiL85w2ga1T1GsGwqfxJFnAG5BeJRxqKohOOduadBiXyFoXTVtEzbi6TK1hbd/UlF
+MA+sphVUnBMAnI6WMwoMzW4luXooSURB57WgtiUOixsO/U0G8WIWDa9aVKJsYD8GRHAr2ql32ET
hmyT7yDwKSB5jjQuYl2SgIv4oBOBCloY2U6CPPzLsNOv+ZDdtj7Qk6zGfso1zb9KjFRS5gq1I312
U0ArTNs0LThtI/+kzoKvVWYn0BatC6obrLY9e57wxeg3B+aSMeZRo2RfsKMaYGRqNHFqspwi7ph9
dreDmpdzvHEWuj7WMzXE7VjvUP3EK/Gh8IEz2rF5UtXxTZeO0dRG1sCI7KsscB6KyrkIcDEH5whk
U/bCeu52hOO8xX0ivXfr7ItbQHPI0ntudWfK1ejNG8wBVxXOntxGq8CvJnrofY1V0AV5bOezDt/1
SZdn953ikDtC508GfBlzBH9mAxz6BeJk5ZSr/KSu8KXQ3ZMUB7AxyMvFkHULueyOPMdZCdAB7P3v
mF5vIcTcaOB0wODeJd4IRlLcGfyRHLk0Jl2Hyokqh8VE7Qvz0myrU9/pv6P7hM0elhCZ7MrTpoQL
AkLys+4ZV3qN4okdRDe6p35vVLNdD4H4daNpFlBi7xIJ0E3m5xPTMFGkAkKBInC4NM34S4at0QI+
Fp1nQwZkacXTggn5RMbjAse0hWzhwkgIXRa1n028CEhFk/NXQ+q+m6qGCWCVlkoBssVEbWXpVvlx
4CbF0ZhECK0hcDQxuvHKio1ll6KGVejFVB/x/cRjHPBV3XMR4S84Q/qRnjt3wtQe2cRDxd8wUXNv
3pXjNXAw3jW1gUK0C1durkdbOwo6ulyWinxwVbjezIsZhwCmua+z/s5GNmdimfk3WclKdPPdadn1
/aSTgxVGE4ycJH8l45E+k6woncpytjQHeanIEIaAlDkr1NIG1CLsbRIWJ5RlLRDiMJ+XTr02vWGY
qQ3TLi/pb7PCOEJwgHqspn9goutVoZg8lUvFnOhjPl4kvake6ylukj0zcW8dq46vzaKo+6zaUdmC
jav84C+Wwa3P1dryurkZGNrCdBM5vbEghGQzABujhhpIXPlTON3WBWqQgYmnHagCrei9L0GTz6uY
LTTRfd09y6uKJhPCoXbXU4h4pHnIjfqFLABWRn8J4g3/9yJARN7CFAQoSTzOUAmuijXgZeBSRQAU
YMp4McbUetCAccSXWWb2xVIONfUu6lD5PY3TXCDDY5+Rl2ndyx5aIyjoDWUyTpj6OMLEWzcKjAxV
y7uRayuuvqhu61EJayPKZoWcmO5X8Fx4Z8qIkEgITve4U/5TujyWLmL0++vr8gsV/Y7L8nXZwoUH
EFYBeepQnP99WapYL6H8RHlkmQgvqFyxL3hYG/KyocO+UWxNQQEdSMLLZQl1R4FKA8aU0kXl0vyz
y/I1xoKZOONrE7c3SieL8fjbeUFdkqLHatifU2FIE5ohTKDKm1pN/GkoPAdGJc1uAsQfOTVJcl0J
bwJJVuDoji60VND9HpZL9aTQtTMN/s+c80l/ygq3Gliuaa3ifeAX7Ten6fAtGPBFiIRDgoMb6xSM
ijV1Gje70TFSKGX2eY21QgsR/zzxCkwphe+C4lnpssGWbu61uDJUinKbCJ+GOKaFHDraEpLHWsPK
wSvwdOiFu4MpfB5i4fjA3fOViqhbOaj9oFQS3BbCH8IXThG18IzAf7aHfBGr54GCDRyeus6Kxh1F
UqeSWCZQi7sctzP0TJwVCkHYLXgYU6FIQHkX0gpokpMGDfTIkb50jPBhM2AKlxnYm/r5kdzoqDF5
8lz12qOolIC+2X+xmqdZhq66XGdI+KArjBCd/9Vo9U1vOohkdtlnr4g+izbJHNIC4llecF3rOC9p
sWROtFTBSsXzVtEIhkkyk63mYZ/Xp+aRWSJ/V49IyyPTEC5qJOgWvgtPMjXGL/yhge+a+XUmuWc6
FZGNZbAGeI9voj24Q3VBg7w9oa3KAL/GZKTo7DNaPcAX3PHMyPiT1nk/Q08IIW/tm6qVCDNG95Kb
o9bt+0dR3J+bHfQDZH/riYI+Dmg2dW2ozD5irEGYEDjnzMjqqZroK7MyT7I+seeZpbkTQ/G/5N54
qes6EwmEe6R+lEA8wAVjf/RT0y4i+1wbCIzfQMUaw9oiCZhD1DiWwO+iZk1bdgYat5qghLWVqmgB
xYCRvjQsHuU9XCc0Tsn+jqBTl0xW0JlXE+UE+TW4OqIr68qKP/MMO1gORgTcEVoYI3H1qkQ2bdra
ZToFK3FfqJguIe4xwIoZmjlGggsSQi7uaGSRg8pdS0NVYMcZwQ3jgE9ldioyW1dxmvbsbH3d29A4
BPr6JvVdWFe6vlKylFGcEXaoMJsJnpodBiFyOtEGdzsM6irAQWcdGcZNWbsIeKT11Iq0qWU5Z3pl
xHitGibkpkaeWLG5luxSP7dqIMDIV9VTPEPAEJf6dRtl2dStjROECKGPAymYypJxVFKeHylDdlzo
sbIuMqyRGc0zhrmrFPdc6rwFVV6/IC1kfFgGWJYl5bIakF9GYnlmF/E3PzYWdpZz1DkmeY67l5ok
X3Psvnrh+xVJlj2LhReY3+EK5gp/MPSJvSNsoUHk2u5ZW0jYzDjmXB0cqCT4/5ASAP92GcsNStVN
BkAWR8Uw2pNGeJPJRY11aZXpy8FzcS6T8DDLi/TY83E1G4S/GfOrEVitIi31DPezrMgvTQnp6RFj
NEn27nIp0S7UEN8Yoh/Tq0B3pj6GahIJsCcc1kys1gor9L5XmK85Psf40sKQbQyFNRv1K/r0/9yf
T/cnF85v7s/m2455O0pCP4pNkGBcn3TUkPlAIUgM1X+0/VBV1EwZcquGUM8rJJjDT7hsKTd/6DD/
fX9yETPC50ePkot/dH/CXXnb9kMRzKJmpbQVjk9oibwqNuMa9l2f9fJ5HWZ3jDqNpRlp0rEqNRgB
45B0aRDOV4CDnLM+cqtFBnZpWlf6UZkZjBtTpkDsPuOkxA6CAW4kxOrMZds117Hd56flKKGpittG
bd8rLYp+uJjCNIPoOJrd2nHtRWDl8iynxmmEBEPqCEeHDmurtFzpgZ/eFJ4HBzLP75G7Oc6a/LZU
9HyKDGwwMb3iPh6wOc0qHTuCrlv1ed8DrM789BKmzlIJdf1C0sxjl+HovO5kd5p0kgtQpUQuP8bv
2a03VuPdu4kNuHkAzOINebFmSohkRiZd1Yj/XTiAhLA1QZ401qi6XITZZi6U1CnC/bTY3AH3CB0i
hKM9VIGJOzJyxXUAyseP7gJVu6kzJ59JobrNMQZCjcO7LakKAk59w7RzQjKwcgvngTicTkLfX0UO
43yZRhVg7yT1jsPRuVEAb4Hgh2NQqvJNboUqxh76Ue3n9TR23XRK12wzNBVOUlZ1R4sRQHQu+KYU
Xp0uXyCWr8x8N7gMHCChUtIBWBoGgNZQ0L7LJTe9KaSJg+N2yLy1FlZXTGtR3TdkOsBlUk0tM56E
uIBwOcb4r9L9Q0+IHmeKiQ4aFWhGRSDD0AgM0so+d9R8WMapjQusCeUFKN6pV5VbtWjxfR8t71Jq
Ihl0uXHvMJM6Kwb1e4wxIPrvJo6Ifqg6Zxh+eVPGMgjcRtAqaiOJFinFxJEHs9hPSoqn2D7vpAzM
hknb0Buy74zdMVtX6BmU6hk9thQmBwoadQAwT2myFByGtAz7VoeM0Xw1c/+vKIoa4J64hah+Cgsb
BH2FMhZRHL8Vuxr/soIBKEH2LQGkhW6ufqSn0qVi5991f5g3PlYmRW9P08gspzKc6bUZF+vcTI76
2pjrnnY+KNE5lXUP74ihtpyFn+XOvTUS1ADRvc+mvmTdlrVn8LHVEzdXyTnsBmpDkQguonyVDPWR
zOVVROFVEODN1sRfOrn8hjtVBq0F1MtQtWd2GTWzUozvMzk9NWwW19ClIwxj9KUpuwmyV0M0S6GS
g9W7t9VRm1X18DnXVPr6Ss6Aicoxq8diNvTtOnJHmRGdfNbF3TeftZ6bWu7iVhEUtJDyOy3NTx0y
YdPOFiFN9YkNR7eWoYeUNJGkuCumOD1meFk2x/0QFTA/Y1TVB+Oh7ozTrgC4k9jhSeGW6jTIEzwo
VXUZ+tVXOyyOSapvlWj8S5GqSz4fyZtAVnYODPMUhq3azLyx7TBRi07tglodN7mrytG+DrWTn9NH
j6coefVHUjRI6yyBDJsydGgjYJp05/08urLN1JjmuKHZqIC51dq1eMpY+sYqwVK8dKEAhxrO50mi
XoYyPuw2AxN6HRWeoZkVoY3KJh7suJ1iNY/tEGktMPp45voxrhceWungeaAYy/eAksL/b+rUZ/Dd
Tj2JH5Mm8dOLLEjrm+yd6MS/9Y9eGqe7H/RHAhXCvODVzf34wR4lMn77nHhTB3XzgASGRqPY4hY2
uKMfX1zeccYg5OnHkkIFTPuYq9vhJ7zXT2v0q1X4/Rd8r93x/jm//vA/V/IGHez/xffnC/789Sni
CZ7MJh9fNMpffX265aAqVIs29dP6HMIiiEb/oxjKi8OFoGH8L1aC57xaCuwmgESSlj2+aGi8Wgp2
ggoDwxJj0//7jfBuDWjhkPjteRpsITtHjmiIFeX19jSwHSxehmFBpjnIRdD3XwSdnhejeItD8fR6
sxHEmYBArUP4efn5QS6F0Ejdez8AJFYVoQr/+BIn5lV0lD9R9iD5pz/VUP/H0XHXoSCi7b0IQjsW
8Vn2/NtvbwGwRVPxKXo+vdXhrYHydFj/Vov682vS/ARUm+inc+c8vt4shTgT/ExRFcLmYZ6Gp7C9
zyIwOVbY6jS7n9bgbXQUlDBuU4VVONRF2H8nOJ9UceC5I34REgSeySY0PiOqDvA4vO33/PFxAJil
c0cKAZGnF5H2bWQw+bFw0zrUnfCUzu5zHIBLAIUwmBj8MiZYKJkYtvI0oDq8nSBwF3tfDoBNHUB9
iD6I17uYoAp7NNuwlKcFP7xFEIDDPRfB+qRxRXIPshI7F0H5BBFWgcJ8sDth/5igfLKYglqq2A7i
9a5+0Imc+OeYYop6mFfkU7DaJybYn7AWMpl0Pq2BKMveBkYOCl3tR9VgFI4OdCnU/ZeCi9KE3qYx
PX98vbsjGBsgPEkycbC58/5FNSkT8AEFoYe3G4G4yHDB0p7BfocXF5W9K0nSBDER0vX33x6jC2Em
Qbvh6aAc6DFQ9r8bVHTToI+Cmtx9DBTjE8L0ZBGUWOJ1qBHhHSj1j7NG8KUaarbkjL9utqlYrZEv
PVXuB3gm9i+ikLmQVYKC9VxEvb0hFJvA4Jgm63Cgh+IdQ/uPdwKBgQ4a8hzar/oqKIiAXwaDfKh3
g7J/c8n4pFmP1fTTwRcn/1WuQE9B5NZM1A+1iHoubPZJmPiOhEZMF5nbixcH7NUi0HUGd67Alz/Y
nbB/qqR/QjQEjutLd+ltEUVMUAEA6hYLJV6Hekc813j77AfMNoUmFoCzx2/67lAgpi6bFJTMYw40
PKp7500M5fiCLAFKEI+vHZHBMVE1UoVZqXgd6lI8bdR99oPzSREXpYV+/s6lUDWqSnzPgBgd6iLs
32QxP5mWCYoJ37fH145SCrYCF+rBzuaea/59dgJNFhmpMfRZHrf8+04TTUkU2YmR+stOOcgug7p3
5oBWje48kqeeB3DvikvyKwi4ONAdaiKt7t+I505kDvtjO7zrN5E+qSp61cTIQ40MTynNPoeCRXAY
SzFx+UVkEMZsDiMb+1CbbgIuumf7FW65aKlBOt8dGYR3JjJM0B0PNXFSn7bofjuBrS6W4bm43nFH
UHPShVCfFulQD4Wxf2Sg0YxEPRZRv5hJiMjgsBKmfKglttAM2/NQOJ8cZPLpRD9Pp0iPXhdWiCuw
WdBiONSZhGAt77kIGjRoGVXa5wr7XTVBZNAEAh1tiQO9I7T9O042zRZgTRg0PJ38dztBpBPiPzQj
xOtQg6QQF95zPwiNWRjxFJg/guDrQ8FSyPDdlIPF8wi76D0Xgd470RGGxXPL5e1NwaFQSRm4TQ71
TOxfUdGVR83AoDP/Jizy5RHjxhPkZYsc6hrsnztaTGdkODvkyE+vN0vxSH6VFcPWDnYj7N96A//M
PtBRFv9FAq1wGMB9Oc5TQ+pgg+P+abRB2qSajGTZFeLFV30dHAE7cpEC7zrY/fD0wfZJox9bbxDF
Xo7/u8uSggqra67LQ90J7+Td/3g8w6AOUgD6LMpzf+FtkCQyAAdlmxzs6N7YO4FmRsVIFmcDBMh+
FR4BQ5IpiInm03HhYj68maXw99ozYwDFAImTYf1TgiiA1W8jAz8EM46C/0Evxd6JA603QH90U15Y
EkSc10uhwmtloM+Q4kAzh+fUdp8gKVpvdBpER/rl7/12EWQdd2bUsg91EfbPHOxPGLiYdN9+1ZR/
zDGhHQvc/GFGhv1zBgvYO+bFhvmr8a3ghovZJSIoB7oI++cMzKg0VYUm8nxTvLsuYcGLA3O4SDfj
KZnZIyYIrBdABXLp55xhR+Ik+tCQhg41cXpGHe2xCIJNaVM785f+RWCUwbWoCtYEh3o7vBNT+vPs
ERKdBbqJP/bbu5HL0wLEAPTvQIOBkLXYO1eCKwqcj7nT4+sdoEVYvuP/wLT231+EfyOr/ME9xpI7
fnikJiNe/8gFfqLc/j//wQtv9/0DfqKbPpJuX/3LmyHfPj37iZQq/vd/bR7wLJoFVV0G97X6mBX/
9NOXLPnxnZ5///krvn/zV2/28r1e/s9VsC035T1CBI+E2OcPKrx9//M//jvmvx42u8myf3+a//yP
1x/2px3w+6fnQbp9+3CR/778f+KL/W8fnmwesvLlQS80Xx7Owdn7k+OhWe/64OzUvZ893cSblj9J
9fKsnz47+33/52dxU737k7Iw5Fgf8PC0LvE+y3ZazIhwtvdbzLbxv87wit21/sSevZ8/j/81y0o2
z8uzflp/buS9n78ot1W66+HkPHs/fBlv0/TlOT99cDK0vZ+9apJvWfxQvzzq78cLnPvej18n+bYM
NvHLo356/Ecc2XU67Fh05SNO7PG23LHmAjiy96IcB6m3IxAIOu7ezz7ZRDvOkACkfsCjq2q7a00+
4oCeZNW//jv1tvF218p8xBE93TwQgF/W4aeN+BFH9HRTBruW5iOOqHh2nu2K7gJSufef9XSbPmT3
wa7oJfjKH/D88n778PKgv9ddQN/2f3jGZ395zk/P/ohjeprtXJOPOKU8ut6W22HHJ/+Ik3q2yXds
dMEZ2HvBz7bt5n3uiAPMRxzR83JDCHj5lD/9OT/iiF7Em/vtjtxRTG32XpaLuEl2JXcCsLL3w68C
UscqeNixMgILsvfzrzf3JSVBWu+4SwXO4gPeIP3XZIug9q43+Iijer0Rb1Cmm/JhZyAT6IAP+Raz
YOvt+hIfcWrFl1hwAu6D6n7Xe3zE8RXvcZRtimbXbaV9xBkW73DSBNW/zr8FVb7re3zEYRbvcrqp
t7ue/xHnmefj9jzZlN82u3IGoSb0EftJOErjWrEjWIsx6ke9w689qx+bA3vU49e/sx3d++H0MHYu
zYcc5t87N+392bN4syt7EIOf/f+sJCbJrj3zIee33iD2HG+aHXm4/iFHV7RZdtzD+kec25utv9m1
NGLuvfe635DjB/WOpE2MCfZ/+u/8a/bdjzcNDaJkV19OdPf3/ux/8YRm11kVqOW9n/4bq4J91+XL
r1Wcf//oXW3ZHyiH983aF3XHXb/2uhct/sV9vN2U//U/AAAA//8=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3.emf"/><Relationship Id="rId10" Type="http://schemas.microsoft.com/office/2014/relationships/chartEx" Target="../charts/chartEx2.xml"/><Relationship Id="rId4" Type="http://schemas.openxmlformats.org/officeDocument/2006/relationships/chart" Target="../charts/chart1.xml"/><Relationship Id="rId9"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44</xdr:row>
      <xdr:rowOff>157238</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201333" cy="7607905"/>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0</xdr:col>
      <xdr:colOff>114300</xdr:colOff>
      <xdr:row>4</xdr:row>
      <xdr:rowOff>135467</xdr:rowOff>
    </xdr:from>
    <xdr:to>
      <xdr:col>1</xdr:col>
      <xdr:colOff>1402080</xdr:colOff>
      <xdr:row>7</xdr:row>
      <xdr:rowOff>165947</xdr:rowOff>
    </xdr:to>
    <xdr:sp macro="" textlink="Pivots!G4">
      <xdr:nvSpPr>
        <xdr:cNvPr id="10" name="Rectangle 9">
          <a:extLst>
            <a:ext uri="{FF2B5EF4-FFF2-40B4-BE49-F238E27FC236}">
              <a16:creationId xmlns:a16="http://schemas.microsoft.com/office/drawing/2014/main" id="{D17E5BFD-8123-46E9-937B-4AA73C1795D8}"/>
            </a:ext>
          </a:extLst>
        </xdr:cNvPr>
        <xdr:cNvSpPr/>
      </xdr:nvSpPr>
      <xdr:spPr>
        <a:xfrm>
          <a:off x="114300" y="836507"/>
          <a:ext cx="1539240" cy="55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CE12EE9-FB48-4A1E-B3F7-281EFB5420DE}" type="TxLink">
            <a:rPr lang="en-US" sz="2300" b="1" i="0" u="none" strike="noStrike">
              <a:solidFill>
                <a:schemeClr val="accent5">
                  <a:lumMod val="40000"/>
                  <a:lumOff val="60000"/>
                </a:schemeClr>
              </a:solidFill>
              <a:latin typeface="Bahnschrift Condensed" panose="020B0502040204020203" pitchFamily="34" charset="0"/>
            </a:rPr>
            <a:t>2,400</a:t>
          </a:fld>
          <a:endParaRPr lang="en-US" sz="2300" b="1">
            <a:solidFill>
              <a:schemeClr val="accent5">
                <a:lumMod val="40000"/>
                <a:lumOff val="60000"/>
              </a:schemeClr>
            </a:solidFill>
            <a:latin typeface="Bahnschrift Condensed" panose="020B0502040204020203" pitchFamily="34" charset="0"/>
          </a:endParaRPr>
        </a:p>
      </xdr:txBody>
    </xdr:sp>
    <xdr:clientData/>
  </xdr:twoCellAnchor>
  <xdr:twoCellAnchor>
    <xdr:from>
      <xdr:col>0</xdr:col>
      <xdr:colOff>129540</xdr:colOff>
      <xdr:row>8</xdr:row>
      <xdr:rowOff>71121</xdr:rowOff>
    </xdr:from>
    <xdr:to>
      <xdr:col>1</xdr:col>
      <xdr:colOff>1417320</xdr:colOff>
      <xdr:row>11</xdr:row>
      <xdr:rowOff>101601</xdr:rowOff>
    </xdr:to>
    <xdr:sp macro="" textlink="Pivots!H4">
      <xdr:nvSpPr>
        <xdr:cNvPr id="11" name="Rectangle 10">
          <a:extLst>
            <a:ext uri="{FF2B5EF4-FFF2-40B4-BE49-F238E27FC236}">
              <a16:creationId xmlns:a16="http://schemas.microsoft.com/office/drawing/2014/main" id="{368338EE-AC31-4E8D-ACA9-0BF6710CF086}"/>
            </a:ext>
          </a:extLst>
        </xdr:cNvPr>
        <xdr:cNvSpPr/>
      </xdr:nvSpPr>
      <xdr:spPr>
        <a:xfrm>
          <a:off x="129540" y="1473201"/>
          <a:ext cx="1539240" cy="55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E3E90AF-1E58-4F8B-9530-7D83EC431C8F}" type="TxLink">
            <a:rPr lang="en-US" sz="2300" b="1" i="0" u="none" strike="noStrike">
              <a:solidFill>
                <a:schemeClr val="accent5">
                  <a:lumMod val="40000"/>
                  <a:lumOff val="60000"/>
                </a:schemeClr>
              </a:solidFill>
              <a:latin typeface="Bahnschrift Condensed" panose="020B0502040204020203" pitchFamily="34" charset="0"/>
              <a:ea typeface="+mn-ea"/>
              <a:cs typeface="+mn-cs"/>
            </a:rPr>
            <a:pPr marL="0" indent="0" algn="l"/>
            <a:t>11,997</a:t>
          </a:fld>
          <a:endParaRPr lang="en-US" sz="2300" b="1" i="0" u="none" strike="noStrike">
            <a:solidFill>
              <a:schemeClr val="accent5">
                <a:lumMod val="40000"/>
                <a:lumOff val="60000"/>
              </a:schemeClr>
            </a:solidFill>
            <a:latin typeface="Bahnschrift Condensed" panose="020B0502040204020203" pitchFamily="34" charset="0"/>
            <a:ea typeface="+mn-ea"/>
            <a:cs typeface="+mn-cs"/>
          </a:endParaRPr>
        </a:p>
      </xdr:txBody>
    </xdr:sp>
    <xdr:clientData/>
  </xdr:twoCellAnchor>
  <xdr:twoCellAnchor>
    <xdr:from>
      <xdr:col>0</xdr:col>
      <xdr:colOff>129540</xdr:colOff>
      <xdr:row>12</xdr:row>
      <xdr:rowOff>29635</xdr:rowOff>
    </xdr:from>
    <xdr:to>
      <xdr:col>1</xdr:col>
      <xdr:colOff>1417320</xdr:colOff>
      <xdr:row>15</xdr:row>
      <xdr:rowOff>60115</xdr:rowOff>
    </xdr:to>
    <xdr:sp macro="" textlink="Pivots!I4">
      <xdr:nvSpPr>
        <xdr:cNvPr id="12" name="Rectangle 11">
          <a:extLst>
            <a:ext uri="{FF2B5EF4-FFF2-40B4-BE49-F238E27FC236}">
              <a16:creationId xmlns:a16="http://schemas.microsoft.com/office/drawing/2014/main" id="{8611DDBC-91BD-4BBF-9BB2-53224A49747B}"/>
            </a:ext>
          </a:extLst>
        </xdr:cNvPr>
        <xdr:cNvSpPr/>
      </xdr:nvSpPr>
      <xdr:spPr>
        <a:xfrm>
          <a:off x="129540" y="2132755"/>
          <a:ext cx="1539240" cy="55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B9666E6-E87E-4E9A-A2A3-9DB2538D5A0F}" type="TxLink">
            <a:rPr lang="en-US" sz="2300" b="1" i="0" u="none" strike="noStrike">
              <a:solidFill>
                <a:schemeClr val="accent5">
                  <a:lumMod val="40000"/>
                  <a:lumOff val="60000"/>
                </a:schemeClr>
              </a:solidFill>
              <a:latin typeface="Bahnschrift Condensed" panose="020B0502040204020203" pitchFamily="34" charset="0"/>
              <a:ea typeface="+mn-ea"/>
              <a:cs typeface="+mn-cs"/>
            </a:rPr>
            <a:pPr marL="0" indent="0" algn="l"/>
            <a:t>$649.0K</a:t>
          </a:fld>
          <a:endParaRPr lang="en-US" sz="2300" b="1" i="0" u="none" strike="noStrike">
            <a:solidFill>
              <a:schemeClr val="accent5">
                <a:lumMod val="40000"/>
                <a:lumOff val="60000"/>
              </a:schemeClr>
            </a:solidFill>
            <a:latin typeface="Bahnschrift Condensed" panose="020B0502040204020203" pitchFamily="34" charset="0"/>
            <a:ea typeface="+mn-ea"/>
            <a:cs typeface="+mn-cs"/>
          </a:endParaRPr>
        </a:p>
      </xdr:txBody>
    </xdr:sp>
    <xdr:clientData/>
  </xdr:twoCellAnchor>
  <xdr:twoCellAnchor>
    <xdr:from>
      <xdr:col>0</xdr:col>
      <xdr:colOff>129540</xdr:colOff>
      <xdr:row>15</xdr:row>
      <xdr:rowOff>148169</xdr:rowOff>
    </xdr:from>
    <xdr:to>
      <xdr:col>1</xdr:col>
      <xdr:colOff>1417320</xdr:colOff>
      <xdr:row>19</xdr:row>
      <xdr:rowOff>3389</xdr:rowOff>
    </xdr:to>
    <xdr:sp macro="" textlink="Pivots!J4">
      <xdr:nvSpPr>
        <xdr:cNvPr id="13" name="Rectangle 12">
          <a:extLst>
            <a:ext uri="{FF2B5EF4-FFF2-40B4-BE49-F238E27FC236}">
              <a16:creationId xmlns:a16="http://schemas.microsoft.com/office/drawing/2014/main" id="{1EF21199-3B9E-410A-B114-989C41317B97}"/>
            </a:ext>
          </a:extLst>
        </xdr:cNvPr>
        <xdr:cNvSpPr/>
      </xdr:nvSpPr>
      <xdr:spPr>
        <a:xfrm>
          <a:off x="129540" y="2777069"/>
          <a:ext cx="1539240" cy="55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70AEB3B-9173-4FFB-B23B-56B55018BA4F}" type="TxLink">
            <a:rPr lang="en-US" sz="2300" b="1" i="0" u="none" strike="noStrike">
              <a:solidFill>
                <a:schemeClr val="accent5">
                  <a:lumMod val="40000"/>
                  <a:lumOff val="60000"/>
                </a:schemeClr>
              </a:solidFill>
              <a:latin typeface="Bahnschrift Condensed" panose="020B0502040204020203" pitchFamily="34" charset="0"/>
              <a:ea typeface="+mn-ea"/>
              <a:cs typeface="+mn-cs"/>
            </a:rPr>
            <a:pPr marL="0" indent="0" algn="l"/>
            <a:t>4.0</a:t>
          </a:fld>
          <a:endParaRPr lang="en-US" sz="2300" b="1" i="0" u="none" strike="noStrike">
            <a:solidFill>
              <a:schemeClr val="accent5">
                <a:lumMod val="40000"/>
                <a:lumOff val="60000"/>
              </a:schemeClr>
            </a:solidFill>
            <a:latin typeface="Bahnschrift Condensed" panose="020B0502040204020203" pitchFamily="34" charset="0"/>
            <a:ea typeface="+mn-ea"/>
            <a:cs typeface="+mn-cs"/>
          </a:endParaRPr>
        </a:p>
      </xdr:txBody>
    </xdr:sp>
    <xdr:clientData/>
  </xdr:twoCellAnchor>
  <xdr:twoCellAnchor>
    <xdr:from>
      <xdr:col>0</xdr:col>
      <xdr:colOff>167640</xdr:colOff>
      <xdr:row>19</xdr:row>
      <xdr:rowOff>106680</xdr:rowOff>
    </xdr:from>
    <xdr:to>
      <xdr:col>1</xdr:col>
      <xdr:colOff>1455420</xdr:colOff>
      <xdr:row>22</xdr:row>
      <xdr:rowOff>137160</xdr:rowOff>
    </xdr:to>
    <xdr:sp macro="" textlink="Pivots!K4">
      <xdr:nvSpPr>
        <xdr:cNvPr id="14" name="Rectangle 13">
          <a:extLst>
            <a:ext uri="{FF2B5EF4-FFF2-40B4-BE49-F238E27FC236}">
              <a16:creationId xmlns:a16="http://schemas.microsoft.com/office/drawing/2014/main" id="{7FA57326-BFDC-461F-BBC5-11B6934B7307}"/>
            </a:ext>
          </a:extLst>
        </xdr:cNvPr>
        <xdr:cNvSpPr/>
      </xdr:nvSpPr>
      <xdr:spPr>
        <a:xfrm>
          <a:off x="167640" y="3436620"/>
          <a:ext cx="1539240" cy="5562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50E6F87-BBC2-4405-86F2-E949C53C9385}" type="TxLink">
            <a:rPr lang="en-US" sz="2300" b="1" i="0" u="none" strike="noStrike">
              <a:solidFill>
                <a:schemeClr val="accent5">
                  <a:lumMod val="40000"/>
                  <a:lumOff val="60000"/>
                </a:schemeClr>
              </a:solidFill>
              <a:latin typeface="Bahnschrift Condensed" panose="020B0502040204020203" pitchFamily="34" charset="0"/>
              <a:ea typeface="+mn-ea"/>
              <a:cs typeface="+mn-cs"/>
            </a:rPr>
            <a:pPr marL="0" indent="0" algn="l"/>
            <a:t>2.3</a:t>
          </a:fld>
          <a:endParaRPr lang="en-US" sz="2300" b="1" i="0" u="none" strike="noStrike">
            <a:solidFill>
              <a:schemeClr val="accent5">
                <a:lumMod val="40000"/>
                <a:lumOff val="60000"/>
              </a:schemeClr>
            </a:solidFill>
            <a:latin typeface="Bahnschrift Condensed" panose="020B0502040204020203" pitchFamily="34" charset="0"/>
            <a:ea typeface="+mn-ea"/>
            <a:cs typeface="+mn-cs"/>
          </a:endParaRPr>
        </a:p>
      </xdr:txBody>
    </xdr:sp>
    <xdr:clientData/>
  </xdr:twoCellAnchor>
  <xdr:twoCellAnchor>
    <xdr:from>
      <xdr:col>0</xdr:col>
      <xdr:colOff>76200</xdr:colOff>
      <xdr:row>3</xdr:row>
      <xdr:rowOff>137160</xdr:rowOff>
    </xdr:from>
    <xdr:to>
      <xdr:col>1</xdr:col>
      <xdr:colOff>1295400</xdr:colOff>
      <xdr:row>5</xdr:row>
      <xdr:rowOff>60960</xdr:rowOff>
    </xdr:to>
    <xdr:sp macro="" textlink="">
      <xdr:nvSpPr>
        <xdr:cNvPr id="15" name="TextBox 14">
          <a:extLst>
            <a:ext uri="{FF2B5EF4-FFF2-40B4-BE49-F238E27FC236}">
              <a16:creationId xmlns:a16="http://schemas.microsoft.com/office/drawing/2014/main" id="{D8D1EC84-05C6-49CC-A728-86CD56ACD2AC}"/>
            </a:ext>
          </a:extLst>
        </xdr:cNvPr>
        <xdr:cNvSpPr txBox="1"/>
      </xdr:nvSpPr>
      <xdr:spPr>
        <a:xfrm>
          <a:off x="76200" y="662940"/>
          <a:ext cx="1470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40000"/>
                  <a:lumOff val="60000"/>
                </a:schemeClr>
              </a:solidFill>
              <a:latin typeface="Bahnschrift" panose="020B0502040204020203" pitchFamily="34" charset="0"/>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cs typeface="Arial" panose="020B0604020202020204" pitchFamily="34" charset="0"/>
            </a:rPr>
            <a:t>ORDERS</a:t>
          </a:r>
        </a:p>
        <a:p>
          <a:endParaRPr lang="en-US" sz="14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endParaRPr>
        </a:p>
      </xdr:txBody>
    </xdr:sp>
    <xdr:clientData/>
  </xdr:twoCellAnchor>
  <xdr:twoCellAnchor>
    <xdr:from>
      <xdr:col>0</xdr:col>
      <xdr:colOff>83820</xdr:colOff>
      <xdr:row>7</xdr:row>
      <xdr:rowOff>65194</xdr:rowOff>
    </xdr:from>
    <xdr:to>
      <xdr:col>1</xdr:col>
      <xdr:colOff>1303020</xdr:colOff>
      <xdr:row>8</xdr:row>
      <xdr:rowOff>164254</xdr:rowOff>
    </xdr:to>
    <xdr:sp macro="" textlink="">
      <xdr:nvSpPr>
        <xdr:cNvPr id="16" name="TextBox 15">
          <a:extLst>
            <a:ext uri="{FF2B5EF4-FFF2-40B4-BE49-F238E27FC236}">
              <a16:creationId xmlns:a16="http://schemas.microsoft.com/office/drawing/2014/main" id="{23F751A3-F1C9-45CC-9832-917DBF7A5D5E}"/>
            </a:ext>
          </a:extLst>
        </xdr:cNvPr>
        <xdr:cNvSpPr txBox="1"/>
      </xdr:nvSpPr>
      <xdr:spPr>
        <a:xfrm>
          <a:off x="83820" y="1292014"/>
          <a:ext cx="1470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latin typeface="Bahnschrift" panose="020B0502040204020203" pitchFamily="34" charset="0"/>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QUANTITY</a:t>
          </a:r>
        </a:p>
        <a:p>
          <a:endParaRPr lang="en-US" sz="1400" b="1">
            <a:solidFill>
              <a:schemeClr val="accent5">
                <a:lumMod val="40000"/>
                <a:lumOff val="60000"/>
              </a:schemeClr>
            </a:solidFill>
            <a:latin typeface="Bahnschrift Condensed" panose="020B0502040204020203" pitchFamily="34" charset="0"/>
            <a:cs typeface="Arial" panose="020B0604020202020204" pitchFamily="34" charset="0"/>
          </a:endParaRPr>
        </a:p>
      </xdr:txBody>
    </xdr:sp>
    <xdr:clientData/>
  </xdr:twoCellAnchor>
  <xdr:twoCellAnchor>
    <xdr:from>
      <xdr:col>30</xdr:col>
      <xdr:colOff>0</xdr:colOff>
      <xdr:row>5</xdr:row>
      <xdr:rowOff>0</xdr:rowOff>
    </xdr:from>
    <xdr:to>
      <xdr:col>31</xdr:col>
      <xdr:colOff>91440</xdr:colOff>
      <xdr:row>8</xdr:row>
      <xdr:rowOff>0</xdr:rowOff>
    </xdr:to>
    <xdr:sp macro="" textlink="">
      <xdr:nvSpPr>
        <xdr:cNvPr id="1025" name="Text Box 1">
          <a:extLst>
            <a:ext uri="{FF2B5EF4-FFF2-40B4-BE49-F238E27FC236}">
              <a16:creationId xmlns:a16="http://schemas.microsoft.com/office/drawing/2014/main" id="{A0D372F7-EFF3-485B-99B9-144BBFCF0C9E}"/>
            </a:ext>
          </a:extLst>
        </xdr:cNvPr>
        <xdr:cNvSpPr txBox="1">
          <a:spLocks noChangeArrowheads="1"/>
        </xdr:cNvSpPr>
      </xdr:nvSpPr>
      <xdr:spPr bwMode="auto">
        <a:xfrm>
          <a:off x="19461480" y="876300"/>
          <a:ext cx="762000" cy="5257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0</xdr:col>
      <xdr:colOff>91440</xdr:colOff>
      <xdr:row>11</xdr:row>
      <xdr:rowOff>848</xdr:rowOff>
    </xdr:from>
    <xdr:to>
      <xdr:col>1</xdr:col>
      <xdr:colOff>1310640</xdr:colOff>
      <xdr:row>12</xdr:row>
      <xdr:rowOff>99908</xdr:rowOff>
    </xdr:to>
    <xdr:sp macro="" textlink="">
      <xdr:nvSpPr>
        <xdr:cNvPr id="18" name="TextBox 17">
          <a:extLst>
            <a:ext uri="{FF2B5EF4-FFF2-40B4-BE49-F238E27FC236}">
              <a16:creationId xmlns:a16="http://schemas.microsoft.com/office/drawing/2014/main" id="{B6D6B5FA-7984-4FCC-9FC9-BCA345F245A2}"/>
            </a:ext>
          </a:extLst>
        </xdr:cNvPr>
        <xdr:cNvSpPr txBox="1"/>
      </xdr:nvSpPr>
      <xdr:spPr>
        <a:xfrm>
          <a:off x="91440" y="1928708"/>
          <a:ext cx="1470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latin typeface="Bahnschrift" panose="020B0502040204020203" pitchFamily="34" charset="0"/>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AMOUNT</a:t>
          </a:r>
        </a:p>
      </xdr:txBody>
    </xdr:sp>
    <xdr:clientData/>
  </xdr:twoCellAnchor>
  <xdr:twoCellAnchor>
    <xdr:from>
      <xdr:col>0</xdr:col>
      <xdr:colOff>99060</xdr:colOff>
      <xdr:row>14</xdr:row>
      <xdr:rowOff>119382</xdr:rowOff>
    </xdr:from>
    <xdr:to>
      <xdr:col>1</xdr:col>
      <xdr:colOff>1318260</xdr:colOff>
      <xdr:row>16</xdr:row>
      <xdr:rowOff>43182</xdr:rowOff>
    </xdr:to>
    <xdr:sp macro="" textlink="">
      <xdr:nvSpPr>
        <xdr:cNvPr id="19" name="TextBox 18">
          <a:extLst>
            <a:ext uri="{FF2B5EF4-FFF2-40B4-BE49-F238E27FC236}">
              <a16:creationId xmlns:a16="http://schemas.microsoft.com/office/drawing/2014/main" id="{41E7333A-0AB6-4465-B105-BF3C0989C488}"/>
            </a:ext>
          </a:extLst>
        </xdr:cNvPr>
        <xdr:cNvSpPr txBox="1"/>
      </xdr:nvSpPr>
      <xdr:spPr>
        <a:xfrm>
          <a:off x="99060" y="2573022"/>
          <a:ext cx="1470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60000"/>
                  <a:lumOff val="40000"/>
                </a:schemeClr>
              </a:solidFill>
              <a:latin typeface="Bahnschrift Condensed" panose="020B0502040204020203" pitchFamily="34" charset="0"/>
              <a:cs typeface="Arial" panose="020B0604020202020204" pitchFamily="34" charset="0"/>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RATING</a:t>
          </a:r>
        </a:p>
        <a:p>
          <a:endParaRPr lang="en-US" sz="1400" b="1">
            <a:solidFill>
              <a:schemeClr val="accent1">
                <a:lumMod val="60000"/>
                <a:lumOff val="40000"/>
              </a:schemeClr>
            </a:solidFill>
            <a:latin typeface="Bahnschrift Condensed" panose="020B0502040204020203" pitchFamily="34" charset="0"/>
            <a:cs typeface="Arial" panose="020B0604020202020204" pitchFamily="34" charset="0"/>
          </a:endParaRPr>
        </a:p>
      </xdr:txBody>
    </xdr:sp>
    <xdr:clientData/>
  </xdr:twoCellAnchor>
  <xdr:twoCellAnchor>
    <xdr:from>
      <xdr:col>0</xdr:col>
      <xdr:colOff>121920</xdr:colOff>
      <xdr:row>18</xdr:row>
      <xdr:rowOff>42336</xdr:rowOff>
    </xdr:from>
    <xdr:to>
      <xdr:col>2</xdr:col>
      <xdr:colOff>15240</xdr:colOff>
      <xdr:row>19</xdr:row>
      <xdr:rowOff>138856</xdr:rowOff>
    </xdr:to>
    <xdr:sp macro="" textlink="">
      <xdr:nvSpPr>
        <xdr:cNvPr id="20" name="TextBox 19">
          <a:extLst>
            <a:ext uri="{FF2B5EF4-FFF2-40B4-BE49-F238E27FC236}">
              <a16:creationId xmlns:a16="http://schemas.microsoft.com/office/drawing/2014/main" id="{BA75F65B-10D4-4902-AE1C-B26CD01C5890}"/>
            </a:ext>
          </a:extLst>
        </xdr:cNvPr>
        <xdr:cNvSpPr txBox="1"/>
      </xdr:nvSpPr>
      <xdr:spPr>
        <a:xfrm>
          <a:off x="121920" y="3151296"/>
          <a:ext cx="1844040" cy="26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latin typeface="Bahnschrift" panose="020B0502040204020203" pitchFamily="34" charset="0"/>
              <a:ea typeface="+mn-ea"/>
              <a:cs typeface="+mn-cs"/>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DAYS</a:t>
          </a:r>
          <a:r>
            <a:rPr lang="en-US" sz="1200" b="1">
              <a:solidFill>
                <a:schemeClr val="accent1">
                  <a:lumMod val="75000"/>
                </a:schemeClr>
              </a:solidFill>
              <a:latin typeface="Bahnschrift" panose="020B0502040204020203" pitchFamily="34" charset="0"/>
              <a:ea typeface="+mn-ea"/>
              <a:cs typeface="+mn-cs"/>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TO</a:t>
          </a:r>
          <a:r>
            <a:rPr lang="en-US" sz="1200" b="1">
              <a:solidFill>
                <a:schemeClr val="accent5">
                  <a:lumMod val="40000"/>
                  <a:lumOff val="60000"/>
                </a:schemeClr>
              </a:solidFill>
              <a:latin typeface="Bahnschrift" panose="020B0502040204020203" pitchFamily="34" charset="0"/>
              <a:ea typeface="+mn-ea"/>
              <a:cs typeface="+mn-cs"/>
            </a:rPr>
            <a:t> </a:t>
          </a:r>
          <a:r>
            <a:rPr lang="en-US" sz="1600" b="1">
              <a:solidFill>
                <a:schemeClr val="accent5">
                  <a:lumMod val="40000"/>
                  <a:lumOff val="60000"/>
                </a:schemeClr>
              </a:solidFill>
              <a:effectLst>
                <a:innerShdw blurRad="63500" dist="50800" dir="16200000">
                  <a:prstClr val="black">
                    <a:alpha val="50000"/>
                  </a:prstClr>
                </a:innerShdw>
              </a:effectLst>
              <a:latin typeface="Bahnschrift Condensed" panose="020B0502040204020203" pitchFamily="34" charset="0"/>
              <a:ea typeface="+mn-ea"/>
              <a:cs typeface="Arial" panose="020B0604020202020204" pitchFamily="34" charset="0"/>
            </a:rPr>
            <a:t>DELIEVER</a:t>
          </a:r>
        </a:p>
      </xdr:txBody>
    </xdr:sp>
    <xdr:clientData/>
  </xdr:twoCellAnchor>
  <xdr:twoCellAnchor>
    <xdr:from>
      <xdr:col>2</xdr:col>
      <xdr:colOff>236220</xdr:colOff>
      <xdr:row>0</xdr:row>
      <xdr:rowOff>0</xdr:rowOff>
    </xdr:from>
    <xdr:to>
      <xdr:col>27</xdr:col>
      <xdr:colOff>495300</xdr:colOff>
      <xdr:row>44</xdr:row>
      <xdr:rowOff>145143</xdr:rowOff>
    </xdr:to>
    <xdr:sp macro="" textlink="">
      <xdr:nvSpPr>
        <xdr:cNvPr id="17" name="Rectangle 16">
          <a:extLst>
            <a:ext uri="{FF2B5EF4-FFF2-40B4-BE49-F238E27FC236}">
              <a16:creationId xmlns:a16="http://schemas.microsoft.com/office/drawing/2014/main" id="{EBCB770F-5B88-4154-8341-C41EBB9DCBA2}"/>
            </a:ext>
          </a:extLst>
        </xdr:cNvPr>
        <xdr:cNvSpPr/>
      </xdr:nvSpPr>
      <xdr:spPr>
        <a:xfrm>
          <a:off x="2177506" y="0"/>
          <a:ext cx="15789365" cy="8128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172530</xdr:colOff>
      <xdr:row>0</xdr:row>
      <xdr:rowOff>116778</xdr:rowOff>
    </xdr:from>
    <xdr:to>
      <xdr:col>11</xdr:col>
      <xdr:colOff>43133</xdr:colOff>
      <xdr:row>16</xdr:row>
      <xdr:rowOff>159710</xdr:rowOff>
    </xdr:to>
    <xdr:graphicFrame macro="">
      <xdr:nvGraphicFramePr>
        <xdr:cNvPr id="26" name="Chart 25">
          <a:extLst>
            <a:ext uri="{FF2B5EF4-FFF2-40B4-BE49-F238E27FC236}">
              <a16:creationId xmlns:a16="http://schemas.microsoft.com/office/drawing/2014/main" id="{535D8188-F0B2-4350-A4DB-355A79780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167392</xdr:colOff>
      <xdr:row>0</xdr:row>
      <xdr:rowOff>88900</xdr:rowOff>
    </xdr:from>
    <xdr:to>
      <xdr:col>18</xdr:col>
      <xdr:colOff>356963</xdr:colOff>
      <xdr:row>16</xdr:row>
      <xdr:rowOff>108043</xdr:rowOff>
    </xdr:to>
    <xdr:grpSp>
      <xdr:nvGrpSpPr>
        <xdr:cNvPr id="33" name="Group 32">
          <a:extLst>
            <a:ext uri="{FF2B5EF4-FFF2-40B4-BE49-F238E27FC236}">
              <a16:creationId xmlns:a16="http://schemas.microsoft.com/office/drawing/2014/main" id="{2DAE488C-48A6-4613-896B-BF50537D3C6B}"/>
            </a:ext>
          </a:extLst>
        </xdr:cNvPr>
        <xdr:cNvGrpSpPr/>
      </xdr:nvGrpSpPr>
      <xdr:grpSpPr>
        <a:xfrm>
          <a:off x="7298207" y="88900"/>
          <a:ext cx="4865052" cy="2878995"/>
          <a:chOff x="7360920" y="579120"/>
          <a:chExt cx="4610100" cy="2263140"/>
        </a:xfrm>
      </xdr:grpSpPr>
      <xdr:sp macro="" textlink="">
        <xdr:nvSpPr>
          <xdr:cNvPr id="25" name="Rectangle 24">
            <a:extLst>
              <a:ext uri="{FF2B5EF4-FFF2-40B4-BE49-F238E27FC236}">
                <a16:creationId xmlns:a16="http://schemas.microsoft.com/office/drawing/2014/main" id="{8DFB4D0A-0359-4A49-B579-7B0A7E0D08F9}"/>
              </a:ext>
            </a:extLst>
          </xdr:cNvPr>
          <xdr:cNvSpPr/>
        </xdr:nvSpPr>
        <xdr:spPr>
          <a:xfrm>
            <a:off x="7360920" y="579120"/>
            <a:ext cx="4610100" cy="226314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mc:AlternateContent xmlns:mc="http://schemas.openxmlformats.org/markup-compatibility/2006">
        <mc:Choice xmlns:a14="http://schemas.microsoft.com/office/drawing/2010/main" Requires="a14">
          <xdr:pic>
            <xdr:nvPicPr>
              <xdr:cNvPr id="32" name="Picture 31">
                <a:extLst>
                  <a:ext uri="{FF2B5EF4-FFF2-40B4-BE49-F238E27FC236}">
                    <a16:creationId xmlns:a16="http://schemas.microsoft.com/office/drawing/2014/main" id="{3CDE3FAA-6527-406E-B04E-230D88FB1110}"/>
                  </a:ext>
                </a:extLst>
              </xdr:cNvPr>
              <xdr:cNvPicPr>
                <a:picLocks noChangeAspect="1" noChangeArrowheads="1"/>
                <a:extLst>
                  <a:ext uri="{84589F7E-364E-4C9E-8A38-B11213B215E9}">
                    <a14:cameraTool cellRange="'pivot 3'!$H$4:$M$9" spid="_x0000_s1049"/>
                  </a:ext>
                </a:extLst>
              </xdr:cNvPicPr>
            </xdr:nvPicPr>
            <xdr:blipFill>
              <a:blip xmlns:r="http://schemas.openxmlformats.org/officeDocument/2006/relationships" r:embed="rId5"/>
              <a:srcRect/>
              <a:stretch>
                <a:fillRect/>
              </a:stretch>
            </xdr:blipFill>
            <xdr:spPr bwMode="auto">
              <a:xfrm>
                <a:off x="7603582" y="873369"/>
                <a:ext cx="3984932" cy="1702672"/>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18</xdr:col>
      <xdr:colOff>546340</xdr:colOff>
      <xdr:row>0</xdr:row>
      <xdr:rowOff>93697</xdr:rowOff>
    </xdr:from>
    <xdr:to>
      <xdr:col>27</xdr:col>
      <xdr:colOff>262850</xdr:colOff>
      <xdr:row>16</xdr:row>
      <xdr:rowOff>54430</xdr:rowOff>
    </xdr:to>
    <xdr:graphicFrame macro="">
      <xdr:nvGraphicFramePr>
        <xdr:cNvPr id="35" name="Chart 34">
          <a:extLst>
            <a:ext uri="{FF2B5EF4-FFF2-40B4-BE49-F238E27FC236}">
              <a16:creationId xmlns:a16="http://schemas.microsoft.com/office/drawing/2014/main" id="{2B3C5990-A5B1-4F03-B33A-982F3C7E4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132080</xdr:colOff>
      <xdr:row>17</xdr:row>
      <xdr:rowOff>142240</xdr:rowOff>
    </xdr:from>
    <xdr:to>
      <xdr:col>11</xdr:col>
      <xdr:colOff>640080</xdr:colOff>
      <xdr:row>41</xdr:row>
      <xdr:rowOff>162560</xdr:rowOff>
    </xdr:to>
    <xdr:graphicFrame macro="">
      <xdr:nvGraphicFramePr>
        <xdr:cNvPr id="37" name="Chart 36">
          <a:extLst>
            <a:ext uri="{FF2B5EF4-FFF2-40B4-BE49-F238E27FC236}">
              <a16:creationId xmlns:a16="http://schemas.microsoft.com/office/drawing/2014/main" id="{BC2BD162-0BA3-45C4-B9BA-342A7A6D7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589280</xdr:colOff>
      <xdr:row>30</xdr:row>
      <xdr:rowOff>10160</xdr:rowOff>
    </xdr:from>
    <xdr:to>
      <xdr:col>8</xdr:col>
      <xdr:colOff>497840</xdr:colOff>
      <xdr:row>39</xdr:row>
      <xdr:rowOff>121920</xdr:rowOff>
    </xdr:to>
    <xdr:graphicFrame macro="">
      <xdr:nvGraphicFramePr>
        <xdr:cNvPr id="40" name="Chart 39">
          <a:extLst>
            <a:ext uri="{FF2B5EF4-FFF2-40B4-BE49-F238E27FC236}">
              <a16:creationId xmlns:a16="http://schemas.microsoft.com/office/drawing/2014/main" id="{CEA3DF30-3FE3-4A50-A2B6-629CB2B68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234851</xdr:colOff>
      <xdr:row>17</xdr:row>
      <xdr:rowOff>102742</xdr:rowOff>
    </xdr:from>
    <xdr:to>
      <xdr:col>19</xdr:col>
      <xdr:colOff>117929</xdr:colOff>
      <xdr:row>42</xdr:row>
      <xdr:rowOff>34247</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2C952CE4-BFF7-4494-8F1B-D641B5D342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054422" y="3032813"/>
              <a:ext cx="4582078" cy="42404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99786</xdr:colOff>
      <xdr:row>25</xdr:row>
      <xdr:rowOff>54428</xdr:rowOff>
    </xdr:from>
    <xdr:to>
      <xdr:col>18</xdr:col>
      <xdr:colOff>453572</xdr:colOff>
      <xdr:row>32</xdr:row>
      <xdr:rowOff>99786</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CBB11D8D-19F0-48E9-8705-C14A0CC3A2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275786" y="4363357"/>
              <a:ext cx="1025072" cy="12518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558801</xdr:colOff>
      <xdr:row>17</xdr:row>
      <xdr:rowOff>9071</xdr:rowOff>
    </xdr:from>
    <xdr:to>
      <xdr:col>26</xdr:col>
      <xdr:colOff>417287</xdr:colOff>
      <xdr:row>30</xdr:row>
      <xdr:rowOff>36286</xdr:rowOff>
    </xdr:to>
    <xdr:graphicFrame macro="">
      <xdr:nvGraphicFramePr>
        <xdr:cNvPr id="43" name="Chart 42">
          <a:extLst>
            <a:ext uri="{FF2B5EF4-FFF2-40B4-BE49-F238E27FC236}">
              <a16:creationId xmlns:a16="http://schemas.microsoft.com/office/drawing/2014/main" id="{569FE32C-7F00-4C21-BC29-B4A4DD65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568599</xdr:colOff>
      <xdr:row>30</xdr:row>
      <xdr:rowOff>140426</xdr:rowOff>
    </xdr:from>
    <xdr:to>
      <xdr:col>26</xdr:col>
      <xdr:colOff>395514</xdr:colOff>
      <xdr:row>43</xdr:row>
      <xdr:rowOff>76926</xdr:rowOff>
    </xdr:to>
    <xdr:graphicFrame macro="">
      <xdr:nvGraphicFramePr>
        <xdr:cNvPr id="44" name="Chart 43">
          <a:extLst>
            <a:ext uri="{FF2B5EF4-FFF2-40B4-BE49-F238E27FC236}">
              <a16:creationId xmlns:a16="http://schemas.microsoft.com/office/drawing/2014/main" id="{824B16FD-4C8A-4421-A6F9-B549D1C93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222250</xdr:colOff>
      <xdr:row>22</xdr:row>
      <xdr:rowOff>81281</xdr:rowOff>
    </xdr:from>
    <xdr:to>
      <xdr:col>1</xdr:col>
      <xdr:colOff>1449917</xdr:colOff>
      <xdr:row>32</xdr:row>
      <xdr:rowOff>14377</xdr:rowOff>
    </xdr:to>
    <mc:AlternateContent xmlns:mc="http://schemas.openxmlformats.org/markup-compatibility/2006">
      <mc:Choice xmlns:a14="http://schemas.microsoft.com/office/drawing/2010/main" Requires="a14">
        <xdr:graphicFrame macro="">
          <xdr:nvGraphicFramePr>
            <xdr:cNvPr id="45" name="Order Mode 1">
              <a:extLst>
                <a:ext uri="{FF2B5EF4-FFF2-40B4-BE49-F238E27FC236}">
                  <a16:creationId xmlns:a16="http://schemas.microsoft.com/office/drawing/2014/main" id="{34AF7994-BBE7-474E-8D90-F3A21BAC48BC}"/>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222250" y="4013577"/>
              <a:ext cx="1481667" cy="1720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243417</xdr:colOff>
      <xdr:row>33</xdr:row>
      <xdr:rowOff>28756</xdr:rowOff>
    </xdr:from>
    <xdr:to>
      <xdr:col>1</xdr:col>
      <xdr:colOff>1502834</xdr:colOff>
      <xdr:row>41</xdr:row>
      <xdr:rowOff>28755</xdr:rowOff>
    </xdr:to>
    <mc:AlternateContent xmlns:mc="http://schemas.openxmlformats.org/markup-compatibility/2006">
      <mc:Choice xmlns:a14="http://schemas.microsoft.com/office/drawing/2010/main" Requires="a14">
        <xdr:graphicFrame macro="">
          <xdr:nvGraphicFramePr>
            <xdr:cNvPr id="46" name="Gender Value">
              <a:extLst>
                <a:ext uri="{FF2B5EF4-FFF2-40B4-BE49-F238E27FC236}">
                  <a16:creationId xmlns:a16="http://schemas.microsoft.com/office/drawing/2014/main" id="{911111F7-F1FD-460B-A47E-6C045284B35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43417" y="5927200"/>
              <a:ext cx="1513417" cy="1429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243417</xdr:colOff>
      <xdr:row>0</xdr:row>
      <xdr:rowOff>148168</xdr:rowOff>
    </xdr:from>
    <xdr:to>
      <xdr:col>17</xdr:col>
      <xdr:colOff>635000</xdr:colOff>
      <xdr:row>2</xdr:row>
      <xdr:rowOff>137585</xdr:rowOff>
    </xdr:to>
    <xdr:sp macro="" textlink="">
      <xdr:nvSpPr>
        <xdr:cNvPr id="34" name="TextBox 33">
          <a:extLst>
            <a:ext uri="{FF2B5EF4-FFF2-40B4-BE49-F238E27FC236}">
              <a16:creationId xmlns:a16="http://schemas.microsoft.com/office/drawing/2014/main" id="{B0724E41-34FE-47AF-819A-B721C8BA2E38}"/>
            </a:ext>
          </a:extLst>
        </xdr:cNvPr>
        <xdr:cNvSpPr txBox="1"/>
      </xdr:nvSpPr>
      <xdr:spPr>
        <a:xfrm>
          <a:off x="8032750" y="148168"/>
          <a:ext cx="3725333"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50000"/>
                </a:schemeClr>
              </a:solidFill>
              <a:latin typeface="Arial Narrow" panose="020B0606020202030204" pitchFamily="34" charset="0"/>
            </a:rPr>
            <a:t>HOW THEY LIKE TO BUYS?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7.967057754628" createdVersion="7" refreshedVersion="7" minRefreshableVersion="3" recordCount="2400" xr:uid="{8AD316AC-98C1-45A5-84BA-9C09ECB3EBC4}">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212075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55494-5FA2-4FE8-B0F7-30C296E3C906}" name="GEO ANALYSIS" cacheId="27"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3">
  <location ref="A28:D86"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name=" county" axis="axisRow" compact="0" outline="0" showAll="0" defaultSubtotal="0">
      <items count="58">
        <item n="Alameda  " x="21"/>
        <item n="Alpine  " x="0"/>
        <item n="Amador  " x="46"/>
        <item n="Butte  " x="51"/>
        <item n="Calaveras  " x="14"/>
        <item n="Colusa  " x="54"/>
        <item n="Contra Costa  " x="1"/>
        <item n="Del Norte  " x="57"/>
        <item n="El Dorado  " x="42"/>
        <item n="Fresno  " x="2"/>
        <item n="Glenn  " x="27"/>
        <item n="Humboldt  " x="44"/>
        <item n="Imperial  " x="33"/>
        <item n="Inyo  " x="15"/>
        <item n="Kern  " x="22"/>
        <item n="Kings  " x="34"/>
        <item n="Lake  " x="50"/>
        <item n="Lassen  " x="55"/>
        <item n="Los Angeles  " x="3"/>
        <item n="Madera  " x="37"/>
        <item n="Marin  " x="43"/>
        <item n="Mariposa  " x="40"/>
        <item n="Mendocino  " x="29"/>
        <item n="Merced  " x="24"/>
        <item n="Modoc  " x="39"/>
        <item n="Mono  " x="47"/>
        <item n="Monterey  " x="49"/>
        <item n="Napa  " x="16"/>
        <item n="Nevada  " x="4"/>
        <item n="Orange  " x="25"/>
        <item n="Placer  " x="5"/>
        <item n="Plumas  " x="35"/>
        <item n="Riverside  " x="23"/>
        <item n="Sacramento  " x="6"/>
        <item n="San Benito  " x="36"/>
        <item n="San Bernardino  " x="7"/>
        <item n="San Diego  " x="8"/>
        <item x="17"/>
        <item n="San Joaquin  " x="26"/>
        <item n="San Luis Obispo  " x="41"/>
        <item n="San Mateo  " x="9"/>
        <item n="Santa Barbara  " x="10"/>
        <item n="Santa Clara  " x="11"/>
        <item n="Santa Cruz  " x="32"/>
        <item n="Shasta  " x="53"/>
        <item n="Sierra  " x="48"/>
        <item n="Siskiyou  " x="30"/>
        <item n="Solano  " x="38"/>
        <item n="Sonoma  " x="18"/>
        <item n="Stanislaus  " x="19"/>
        <item n="Sutter  " x="31"/>
        <item n="Tehama  " x="12"/>
        <item n="Trinity  " x="45"/>
        <item n="Tulare  " x="20"/>
        <item n="Tuolumne  " x="52"/>
        <item n="Ventura  " x="13"/>
        <item n="Yolo  " x="28"/>
        <item n="Yuba  "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formats count="1">
    <format dxfId="0">
      <pivotArea field="13" grandRow="1" outline="0" collapsedLevelsAreSubtotals="1">
        <references count="1">
          <reference field="4294967294" count="1" selected="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D7B8FE-29F2-4CAB-82A2-E184796198C9}" name="TREND ANALYSIS"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0:C24"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3">
    <format dxfId="1">
      <pivotArea collapsedLevelsAreSubtotals="1" fieldPosition="0">
        <references count="2">
          <reference field="4294967294" count="1" selected="0">
            <x v="1"/>
          </reference>
          <reference field="13" count="1">
            <x v="0"/>
          </reference>
        </references>
      </pivotArea>
    </format>
    <format dxfId="2">
      <pivotArea collapsedLevelsAreSubtotals="1" fieldPosition="0">
        <references count="2">
          <reference field="4294967294" count="1" selected="0">
            <x v="1"/>
          </reference>
          <reference field="13" count="12">
            <x v="1"/>
            <x v="2"/>
            <x v="3"/>
            <x v="4"/>
            <x v="5"/>
            <x v="6"/>
            <x v="7"/>
            <x v="8"/>
            <x v="9"/>
            <x v="10"/>
            <x v="11"/>
            <x v="12"/>
          </reference>
        </references>
      </pivotArea>
    </format>
    <format dxfId="3">
      <pivotArea field="13" grandRow="1" outline="0" collapsedLevelsAreSubtotals="1" axis="axisRow" fieldPosition="0">
        <references count="1">
          <reference field="4294967294" count="1" selected="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314C8-6178-44DA-B05B-8EF3520DD2B4}" name="PVTSUMMARY"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BD673-AB23-4D3A-A61D-12EFB65A11A4}" name="PivotTable3"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AF862-2C76-4154-8D84-46081EC9A3F5}"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J13:K1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23" format="1" series="1">
      <pivotArea type="data" outline="0" fieldPosition="0">
        <references count="1">
          <reference field="4294967294" count="1" selected="0">
            <x v="0"/>
          </reference>
        </references>
      </pivotArea>
    </chartFormat>
    <chartFormat chart="23" format="2">
      <pivotArea type="data" outline="0" fieldPosition="0">
        <references count="2">
          <reference field="4294967294" count="1" selected="0">
            <x v="0"/>
          </reference>
          <reference field="14" count="1" selected="0">
            <x v="0"/>
          </reference>
        </references>
      </pivotArea>
    </chartFormat>
    <chartFormat chart="23" format="3">
      <pivotArea type="data" outline="0" fieldPosition="0">
        <references count="2">
          <reference field="4294967294" count="1" selected="0">
            <x v="0"/>
          </reference>
          <reference field="14" count="1" selected="0">
            <x v="1"/>
          </reference>
        </references>
      </pivotArea>
    </chartFormat>
    <chartFormat chart="23" format="4">
      <pivotArea type="data" outline="0" fieldPosition="0">
        <references count="2">
          <reference field="4294967294" count="1" selected="0">
            <x v="0"/>
          </reference>
          <reference field="14" count="1" selected="0">
            <x v="2"/>
          </reference>
        </references>
      </pivotArea>
    </chartFormat>
    <chartFormat chart="23" format="5">
      <pivotArea type="data" outline="0" fieldPosition="0">
        <references count="2">
          <reference field="4294967294" count="1" selected="0">
            <x v="0"/>
          </reference>
          <reference field="14" count="1" selected="0">
            <x v="3"/>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4" count="1" selected="0">
            <x v="0"/>
          </reference>
        </references>
      </pivotArea>
    </chartFormat>
    <chartFormat chart="24" format="8">
      <pivotArea type="data" outline="0" fieldPosition="0">
        <references count="2">
          <reference field="4294967294" count="1" selected="0">
            <x v="0"/>
          </reference>
          <reference field="14" count="1" selected="0">
            <x v="1"/>
          </reference>
        </references>
      </pivotArea>
    </chartFormat>
    <chartFormat chart="24" format="9">
      <pivotArea type="data" outline="0" fieldPosition="0">
        <references count="2">
          <reference field="4294967294" count="1" selected="0">
            <x v="0"/>
          </reference>
          <reference field="14" count="1" selected="0">
            <x v="2"/>
          </reference>
        </references>
      </pivotArea>
    </chartFormat>
    <chartFormat chart="2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2D375A-2457-4E3A-8397-92B429FC2481}" name="PRODUCT SUMMARY"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13:F3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39EB46-69B7-48BA-AE68-FE348975215C}" name="ORDER QUANTITY ANALYSIS"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AEAF2-2A5D-48DF-8369-98F14611C4B6}" name="CUSTOMER S SUMMARY"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4:G29"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9" count="1" selected="0">
            <x v="0"/>
          </reference>
        </references>
      </pivotArea>
    </chartFormat>
    <chartFormat chart="8" format="14" series="1">
      <pivotArea type="data" outline="0" fieldPosition="0">
        <references count="2">
          <reference field="4294967294" count="1" selected="0">
            <x v="0"/>
          </reference>
          <reference field="9" count="1" selected="0">
            <x v="1"/>
          </reference>
        </references>
      </pivotArea>
    </chartFormat>
    <chartFormat chart="8" format="15" series="1">
      <pivotArea type="data" outline="0" fieldPosition="0">
        <references count="2">
          <reference field="4294967294" count="1" selected="0">
            <x v="0"/>
          </reference>
          <reference field="9" count="1" selected="0">
            <x v="2"/>
          </reference>
        </references>
      </pivotArea>
    </chartFormat>
    <chartFormat chart="8" format="16" series="1">
      <pivotArea type="data" outline="0" fieldPosition="0">
        <references count="2">
          <reference field="4294967294" count="1" selected="0">
            <x v="0"/>
          </reference>
          <reference field="9" count="1" selected="0">
            <x v="3"/>
          </reference>
        </references>
      </pivotArea>
    </chartFormat>
    <chartFormat chart="8"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84F1B0-26F6-47F4-AD04-79BF053961D3}" name="SHIPMENT SUMMARY"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9"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96B6C49-EDAA-4D0E-B4B3-B5D9A50000B4}" sourceName="Order Mode">
  <pivotTables>
    <pivotTable tabId="10" name="CUSTOMER S SUMMARY"/>
    <pivotTable tabId="5" name="GEO ANALYSIS"/>
    <pivotTable tabId="5" name="PVTSUMMARY"/>
    <pivotTable tabId="5" name="TREND ANALYSIS"/>
    <pivotTable tabId="8" name="ORDER QUANTITY ANALYSIS"/>
    <pivotTable tabId="8" name="PRODUCT SUMMARY"/>
    <pivotTable tabId="10" name="SHIPMENT SUMMARY"/>
  </pivotTables>
  <data>
    <tabular pivotCacheId="21207591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FC7DA2C-AF6C-48C6-9A22-5626C4F91E16}" sourceName="Gender Value">
  <pivotTables>
    <pivotTable tabId="10" name="CUSTOMER S SUMMARY"/>
    <pivotTable tabId="5" name="GEO ANALYSIS"/>
    <pivotTable tabId="5" name="PVTSUMMARY"/>
    <pivotTable tabId="5" name="TREND ANALYSIS"/>
    <pivotTable tabId="8" name="ORDER QUANTITY ANALYSIS"/>
    <pivotTable tabId="8" name="PRODUCT SUMMARY"/>
    <pivotTable tabId="10" name="SHIPMENT SUMMARY"/>
  </pivotTables>
  <data>
    <tabular pivotCacheId="21207591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4346C62D-4CB9-4EFF-8730-F41CA85D6081}" cache="Slicer_Order_Mode" caption="Order Mode" rowHeight="234950"/>
  <slicer name="Gender Value" xr10:uid="{59BD3481-21E4-4ABB-A704-38786276F155}"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567C43-1D07-4E37-A4AB-291920E07B27}" name="Table2" displayName="Table2" ref="A1:O102" totalsRowShown="0">
  <autoFilter ref="A1:O102" xr:uid="{F1567C43-1D07-4E37-A4AB-291920E07B27}"/>
  <tableColumns count="15">
    <tableColumn id="1" xr3:uid="{5AB5AFA6-5625-4B31-ABA6-1251E81A593C}" name="TX ID"/>
    <tableColumn id="2" xr3:uid="{D9B3EBD6-B80A-4FA0-A95D-34BAE58BE25B}" name="Product"/>
    <tableColumn id="3" xr3:uid="{53AEDCE5-AC29-42BE-ABD5-290548E2E3C9}" name="Quantity"/>
    <tableColumn id="4" xr3:uid="{D7318FA2-0B7A-45FE-BDD9-D85650217B85}" name="Unit Price"/>
    <tableColumn id="5" xr3:uid="{0D807C37-F91B-4473-BF68-827D28BE6A9C}" name="Amount"/>
    <tableColumn id="6" xr3:uid="{C31E5010-A1AE-443B-9A06-FBFBB19461D5}" name="Order Date" dataDxfId="5"/>
    <tableColumn id="7" xr3:uid="{BA574551-2D37-4D7F-9171-641DDC360432}" name="Ship Date" dataDxfId="4"/>
    <tableColumn id="8" xr3:uid="{086A61B9-A612-43CC-83A5-B755745B9F47}" name="Customer Gender"/>
    <tableColumn id="9" xr3:uid="{AD243987-0370-4258-80EA-A2FBEF618B87}" name="Order Mode"/>
    <tableColumn id="10" xr3:uid="{992A4C71-0D74-4959-9C65-F2811CD33132}" name="Rating C"/>
    <tableColumn id="11" xr3:uid="{805A1700-ABA9-4DED-8072-B40011E85C6A}" name="State"/>
    <tableColumn id="12" xr3:uid="{51F56C9D-3955-4E68-B4F7-D4BE31E8D26B}" name="County"/>
    <tableColumn id="13" xr3:uid="{EFF4552B-D913-4810-BD54-8EF91D5B408C}" name="Days to Deliver"/>
    <tableColumn id="14" xr3:uid="{406E506C-52F1-4862-B3CF-9D4B6444624E}" name="Weeknum"/>
    <tableColumn id="15" xr3:uid="{FF66B373-EB19-4120-9EDB-B04883399D6B}"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0"/>
    <tableColumn id="7" xr3:uid="{43BB5DBF-46E1-4185-80C0-4361F55A385C}" name="Ship Date" dataDxfId="9"/>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8">
      <calculatedColumnFormula>orders[[#This Row],[Ship Date]]-orders[[#This Row],[Order Date]]</calculatedColumnFormula>
    </tableColumn>
    <tableColumn id="12" xr3:uid="{B071C0DA-87A9-4516-B4D9-4F5B7D3FF44A}" name="Weeknum" dataDxfId="7">
      <calculatedColumnFormula>WEEKNUM(orders[[#This Row],[Order Date]])</calculatedColumnFormula>
    </tableColumn>
    <tableColumn id="13" xr3:uid="{B8EA9E28-7541-4E76-9935-C26438661A18}" name="Gender Value" dataDxfId="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DDD4-4F7B-465A-94BD-DDABDAC0F4DA}">
  <dimension ref="A1:O102"/>
  <sheetViews>
    <sheetView workbookViewId="0">
      <selection sqref="A1:O102"/>
    </sheetView>
  </sheetViews>
  <sheetFormatPr defaultRowHeight="13.8"/>
  <cols>
    <col min="2" max="2" width="9.3984375" customWidth="1"/>
    <col min="3" max="3" width="10" customWidth="1"/>
    <col min="4" max="4" width="11.09765625" customWidth="1"/>
    <col min="5" max="5" width="9.5" customWidth="1"/>
    <col min="6" max="6" width="12.09765625" customWidth="1"/>
    <col min="7" max="7" width="11" customWidth="1"/>
    <col min="8" max="8" width="18.19921875" customWidth="1"/>
    <col min="9" max="9" width="12.8984375" customWidth="1"/>
    <col min="10" max="10" width="10" customWidth="1"/>
    <col min="12" max="12" width="8.8984375" customWidth="1"/>
    <col min="13" max="13" width="16" customWidth="1"/>
    <col min="14" max="14" width="11.3984375" customWidth="1"/>
    <col min="15" max="15" width="14.597656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v>1</v>
      </c>
      <c r="D2">
        <v>10.9</v>
      </c>
      <c r="E2">
        <v>10.9</v>
      </c>
      <c r="F2" s="11">
        <v>45658</v>
      </c>
      <c r="G2" s="11">
        <v>45663</v>
      </c>
      <c r="H2" t="s">
        <v>17</v>
      </c>
      <c r="I2" t="s">
        <v>18</v>
      </c>
      <c r="J2">
        <v>4</v>
      </c>
      <c r="K2" t="s">
        <v>19</v>
      </c>
      <c r="L2" t="s">
        <v>20</v>
      </c>
      <c r="M2">
        <v>5</v>
      </c>
      <c r="N2">
        <v>1</v>
      </c>
      <c r="O2" t="s">
        <v>2531</v>
      </c>
    </row>
    <row r="3" spans="1:15">
      <c r="A3" t="s">
        <v>21</v>
      </c>
      <c r="B3" t="s">
        <v>22</v>
      </c>
      <c r="C3">
        <v>2</v>
      </c>
      <c r="D3">
        <v>30.6</v>
      </c>
      <c r="E3">
        <v>61.2</v>
      </c>
      <c r="F3" s="11">
        <v>45658</v>
      </c>
      <c r="G3" s="11">
        <v>45660</v>
      </c>
      <c r="H3" t="s">
        <v>23</v>
      </c>
      <c r="I3" t="s">
        <v>18</v>
      </c>
      <c r="J3">
        <v>4</v>
      </c>
      <c r="K3" t="s">
        <v>19</v>
      </c>
      <c r="L3" t="s">
        <v>24</v>
      </c>
      <c r="M3">
        <v>2</v>
      </c>
      <c r="N3">
        <v>1</v>
      </c>
      <c r="O3" t="s">
        <v>2532</v>
      </c>
    </row>
    <row r="4" spans="1:15">
      <c r="A4" t="s">
        <v>25</v>
      </c>
      <c r="B4" t="s">
        <v>26</v>
      </c>
      <c r="C4">
        <v>3</v>
      </c>
      <c r="D4">
        <v>109.4</v>
      </c>
      <c r="E4">
        <v>328.20000000000005</v>
      </c>
      <c r="F4" s="11">
        <v>45658</v>
      </c>
      <c r="G4" s="11">
        <v>45661</v>
      </c>
      <c r="H4" t="s">
        <v>27</v>
      </c>
      <c r="I4" t="s">
        <v>18</v>
      </c>
      <c r="J4">
        <v>3</v>
      </c>
      <c r="K4" t="s">
        <v>19</v>
      </c>
      <c r="L4" t="s">
        <v>28</v>
      </c>
      <c r="M4">
        <v>3</v>
      </c>
      <c r="N4">
        <v>1</v>
      </c>
      <c r="O4" t="s">
        <v>2533</v>
      </c>
    </row>
    <row r="5" spans="1:15">
      <c r="A5" t="s">
        <v>29</v>
      </c>
      <c r="B5" t="s">
        <v>30</v>
      </c>
      <c r="C5">
        <v>7</v>
      </c>
      <c r="D5">
        <v>37.700000000000003</v>
      </c>
      <c r="E5">
        <v>263.90000000000003</v>
      </c>
      <c r="F5" s="11">
        <v>45658</v>
      </c>
      <c r="G5" s="11">
        <v>45659</v>
      </c>
      <c r="H5" t="s">
        <v>27</v>
      </c>
      <c r="I5" t="s">
        <v>18</v>
      </c>
      <c r="J5">
        <v>4</v>
      </c>
      <c r="K5" t="s">
        <v>19</v>
      </c>
      <c r="L5" t="s">
        <v>28</v>
      </c>
      <c r="M5">
        <v>1</v>
      </c>
      <c r="N5">
        <v>1</v>
      </c>
      <c r="O5" t="s">
        <v>2533</v>
      </c>
    </row>
    <row r="6" spans="1:15">
      <c r="A6" t="s">
        <v>31</v>
      </c>
      <c r="B6" t="s">
        <v>32</v>
      </c>
      <c r="C6">
        <v>3</v>
      </c>
      <c r="D6">
        <v>56.7</v>
      </c>
      <c r="E6">
        <v>170.10000000000002</v>
      </c>
      <c r="F6" s="11">
        <v>45658</v>
      </c>
      <c r="G6" s="11">
        <v>45661</v>
      </c>
      <c r="H6" t="s">
        <v>27</v>
      </c>
      <c r="I6" t="s">
        <v>18</v>
      </c>
      <c r="J6">
        <v>5</v>
      </c>
      <c r="K6" t="s">
        <v>19</v>
      </c>
      <c r="L6" t="s">
        <v>33</v>
      </c>
      <c r="M6">
        <v>3</v>
      </c>
      <c r="N6">
        <v>1</v>
      </c>
      <c r="O6" t="s">
        <v>2533</v>
      </c>
    </row>
    <row r="7" spans="1:15">
      <c r="A7" t="s">
        <v>34</v>
      </c>
      <c r="B7" t="s">
        <v>22</v>
      </c>
      <c r="C7">
        <v>12</v>
      </c>
      <c r="D7">
        <v>83.5</v>
      </c>
      <c r="E7">
        <v>1002</v>
      </c>
      <c r="F7" s="11">
        <v>45658</v>
      </c>
      <c r="G7" s="11">
        <v>45661</v>
      </c>
      <c r="H7" t="s">
        <v>23</v>
      </c>
      <c r="I7" t="s">
        <v>35</v>
      </c>
      <c r="J7">
        <v>4</v>
      </c>
      <c r="K7" t="s">
        <v>19</v>
      </c>
      <c r="L7" t="s">
        <v>33</v>
      </c>
      <c r="M7">
        <v>3</v>
      </c>
      <c r="N7">
        <v>1</v>
      </c>
      <c r="O7" t="s">
        <v>2532</v>
      </c>
    </row>
    <row r="8" spans="1:15">
      <c r="A8" t="s">
        <v>36</v>
      </c>
      <c r="B8" t="s">
        <v>37</v>
      </c>
      <c r="C8">
        <v>1</v>
      </c>
      <c r="D8">
        <v>55.3</v>
      </c>
      <c r="E8">
        <v>55.3</v>
      </c>
      <c r="F8" s="11">
        <v>45658</v>
      </c>
      <c r="G8" s="11">
        <v>45659</v>
      </c>
      <c r="H8" t="s">
        <v>27</v>
      </c>
      <c r="I8" t="s">
        <v>18</v>
      </c>
      <c r="J8">
        <v>4</v>
      </c>
      <c r="K8" t="s">
        <v>19</v>
      </c>
      <c r="L8" t="s">
        <v>33</v>
      </c>
      <c r="M8">
        <v>1</v>
      </c>
      <c r="N8">
        <v>1</v>
      </c>
      <c r="O8" t="s">
        <v>2533</v>
      </c>
    </row>
    <row r="9" spans="1:15">
      <c r="A9" t="s">
        <v>38</v>
      </c>
      <c r="B9" t="s">
        <v>39</v>
      </c>
      <c r="C9">
        <v>2</v>
      </c>
      <c r="D9">
        <v>40.299999999999997</v>
      </c>
      <c r="E9">
        <v>80.599999999999994</v>
      </c>
      <c r="F9" s="11">
        <v>45658</v>
      </c>
      <c r="G9" s="11">
        <v>45659</v>
      </c>
      <c r="H9" t="s">
        <v>23</v>
      </c>
      <c r="I9" t="s">
        <v>40</v>
      </c>
      <c r="J9">
        <v>5</v>
      </c>
      <c r="K9" t="s">
        <v>19</v>
      </c>
      <c r="L9" t="s">
        <v>33</v>
      </c>
      <c r="M9">
        <v>1</v>
      </c>
      <c r="N9">
        <v>1</v>
      </c>
      <c r="O9" t="s">
        <v>2532</v>
      </c>
    </row>
    <row r="10" spans="1:15">
      <c r="A10" t="s">
        <v>41</v>
      </c>
      <c r="B10" t="s">
        <v>42</v>
      </c>
      <c r="C10">
        <v>11</v>
      </c>
      <c r="D10">
        <v>35.700000000000003</v>
      </c>
      <c r="E10">
        <v>392.70000000000005</v>
      </c>
      <c r="F10" s="11">
        <v>45658</v>
      </c>
      <c r="G10" s="11">
        <v>45659</v>
      </c>
      <c r="H10" t="s">
        <v>27</v>
      </c>
      <c r="I10" t="s">
        <v>18</v>
      </c>
      <c r="J10">
        <v>4</v>
      </c>
      <c r="K10" t="s">
        <v>19</v>
      </c>
      <c r="L10" t="s">
        <v>33</v>
      </c>
      <c r="M10">
        <v>1</v>
      </c>
      <c r="N10">
        <v>1</v>
      </c>
      <c r="O10" t="s">
        <v>2533</v>
      </c>
    </row>
    <row r="11" spans="1:15">
      <c r="A11" t="s">
        <v>43</v>
      </c>
      <c r="B11" t="s">
        <v>44</v>
      </c>
      <c r="C11">
        <v>7</v>
      </c>
      <c r="D11">
        <v>22.4</v>
      </c>
      <c r="E11">
        <v>156.79999999999998</v>
      </c>
      <c r="F11" s="11">
        <v>45658</v>
      </c>
      <c r="G11" s="11">
        <v>45661</v>
      </c>
      <c r="H11" t="s">
        <v>23</v>
      </c>
      <c r="I11" t="s">
        <v>18</v>
      </c>
      <c r="J11">
        <v>3</v>
      </c>
      <c r="K11" t="s">
        <v>19</v>
      </c>
      <c r="L11" t="s">
        <v>33</v>
      </c>
      <c r="M11">
        <v>3</v>
      </c>
      <c r="N11">
        <v>1</v>
      </c>
      <c r="O11" t="s">
        <v>2532</v>
      </c>
    </row>
    <row r="12" spans="1:15">
      <c r="A12" t="s">
        <v>45</v>
      </c>
      <c r="B12" t="s">
        <v>46</v>
      </c>
      <c r="C12">
        <v>2</v>
      </c>
      <c r="D12">
        <v>54.4</v>
      </c>
      <c r="E12">
        <v>108.8</v>
      </c>
      <c r="F12" s="11">
        <v>45658</v>
      </c>
      <c r="G12" s="11">
        <v>45664</v>
      </c>
      <c r="H12" t="s">
        <v>27</v>
      </c>
      <c r="I12" t="s">
        <v>18</v>
      </c>
      <c r="J12">
        <v>4</v>
      </c>
      <c r="K12" t="s">
        <v>19</v>
      </c>
      <c r="L12" t="s">
        <v>33</v>
      </c>
      <c r="M12">
        <v>6</v>
      </c>
      <c r="N12">
        <v>1</v>
      </c>
      <c r="O12" t="s">
        <v>2533</v>
      </c>
    </row>
    <row r="13" spans="1:15">
      <c r="A13" t="s">
        <v>47</v>
      </c>
      <c r="B13" t="s">
        <v>46</v>
      </c>
      <c r="C13">
        <v>2</v>
      </c>
      <c r="D13">
        <v>49</v>
      </c>
      <c r="E13">
        <v>98</v>
      </c>
      <c r="F13" s="11">
        <v>45658</v>
      </c>
      <c r="G13" s="11">
        <v>45660</v>
      </c>
      <c r="H13" t="s">
        <v>27</v>
      </c>
      <c r="I13" t="s">
        <v>40</v>
      </c>
      <c r="J13">
        <v>3</v>
      </c>
      <c r="K13" t="s">
        <v>19</v>
      </c>
      <c r="L13" t="s">
        <v>33</v>
      </c>
      <c r="M13">
        <v>2</v>
      </c>
      <c r="N13">
        <v>1</v>
      </c>
      <c r="O13" t="s">
        <v>2533</v>
      </c>
    </row>
    <row r="14" spans="1:15">
      <c r="A14" t="s">
        <v>48</v>
      </c>
      <c r="B14" t="s">
        <v>37</v>
      </c>
      <c r="C14">
        <v>7</v>
      </c>
      <c r="D14">
        <v>118.6</v>
      </c>
      <c r="E14">
        <v>830.19999999999993</v>
      </c>
      <c r="F14" s="11">
        <v>45658</v>
      </c>
      <c r="G14" s="11">
        <v>45662</v>
      </c>
      <c r="H14" t="s">
        <v>27</v>
      </c>
      <c r="I14" t="s">
        <v>35</v>
      </c>
      <c r="J14">
        <v>4</v>
      </c>
      <c r="K14" t="s">
        <v>19</v>
      </c>
      <c r="L14" t="s">
        <v>49</v>
      </c>
      <c r="M14">
        <v>4</v>
      </c>
      <c r="N14">
        <v>1</v>
      </c>
      <c r="O14" t="s">
        <v>2533</v>
      </c>
    </row>
    <row r="15" spans="1:15">
      <c r="A15" t="s">
        <v>50</v>
      </c>
      <c r="B15" t="s">
        <v>39</v>
      </c>
      <c r="C15">
        <v>27</v>
      </c>
      <c r="D15">
        <v>88.4</v>
      </c>
      <c r="E15">
        <v>2386.8000000000002</v>
      </c>
      <c r="F15" s="11">
        <v>45658</v>
      </c>
      <c r="G15" s="11">
        <v>45665</v>
      </c>
      <c r="H15" t="s">
        <v>23</v>
      </c>
      <c r="I15" t="s">
        <v>51</v>
      </c>
      <c r="J15">
        <v>4</v>
      </c>
      <c r="K15" t="s">
        <v>19</v>
      </c>
      <c r="L15" t="s">
        <v>52</v>
      </c>
      <c r="M15">
        <v>7</v>
      </c>
      <c r="N15">
        <v>1</v>
      </c>
      <c r="O15" t="s">
        <v>2532</v>
      </c>
    </row>
    <row r="16" spans="1:15">
      <c r="A16" t="s">
        <v>53</v>
      </c>
      <c r="B16" t="s">
        <v>54</v>
      </c>
      <c r="C16">
        <v>1</v>
      </c>
      <c r="D16">
        <v>66.7</v>
      </c>
      <c r="E16">
        <v>66.7</v>
      </c>
      <c r="F16" s="11">
        <v>45658</v>
      </c>
      <c r="G16" s="11">
        <v>45661</v>
      </c>
      <c r="H16" t="s">
        <v>23</v>
      </c>
      <c r="I16" t="s">
        <v>18</v>
      </c>
      <c r="J16">
        <v>4</v>
      </c>
      <c r="K16" t="s">
        <v>19</v>
      </c>
      <c r="L16" t="s">
        <v>55</v>
      </c>
      <c r="M16">
        <v>3</v>
      </c>
      <c r="N16">
        <v>1</v>
      </c>
      <c r="O16" t="s">
        <v>2532</v>
      </c>
    </row>
    <row r="17" spans="1:15">
      <c r="A17" t="s">
        <v>56</v>
      </c>
      <c r="B17" t="s">
        <v>46</v>
      </c>
      <c r="C17">
        <v>10</v>
      </c>
      <c r="D17">
        <v>30.9</v>
      </c>
      <c r="E17">
        <v>309</v>
      </c>
      <c r="F17" s="11">
        <v>45658</v>
      </c>
      <c r="G17" s="11">
        <v>45659</v>
      </c>
      <c r="H17" t="s">
        <v>23</v>
      </c>
      <c r="I17" t="s">
        <v>35</v>
      </c>
      <c r="J17">
        <v>5</v>
      </c>
      <c r="K17" t="s">
        <v>19</v>
      </c>
      <c r="L17" t="s">
        <v>55</v>
      </c>
      <c r="M17">
        <v>1</v>
      </c>
      <c r="N17">
        <v>1</v>
      </c>
      <c r="O17" t="s">
        <v>2532</v>
      </c>
    </row>
    <row r="18" spans="1:15">
      <c r="A18" t="s">
        <v>57</v>
      </c>
      <c r="B18" t="s">
        <v>32</v>
      </c>
      <c r="C18">
        <v>3</v>
      </c>
      <c r="D18">
        <v>31.1</v>
      </c>
      <c r="E18">
        <v>93.300000000000011</v>
      </c>
      <c r="F18" s="11">
        <v>45658</v>
      </c>
      <c r="G18" s="11">
        <v>45659</v>
      </c>
      <c r="H18" t="s">
        <v>27</v>
      </c>
      <c r="I18" t="s">
        <v>18</v>
      </c>
      <c r="J18">
        <v>3</v>
      </c>
      <c r="K18" t="s">
        <v>19</v>
      </c>
      <c r="L18" t="s">
        <v>55</v>
      </c>
      <c r="M18">
        <v>1</v>
      </c>
      <c r="N18">
        <v>1</v>
      </c>
      <c r="O18" t="s">
        <v>2533</v>
      </c>
    </row>
    <row r="19" spans="1:15">
      <c r="A19" t="s">
        <v>58</v>
      </c>
      <c r="B19" t="s">
        <v>42</v>
      </c>
      <c r="C19">
        <v>3</v>
      </c>
      <c r="D19">
        <v>36.6</v>
      </c>
      <c r="E19">
        <v>109.80000000000001</v>
      </c>
      <c r="F19" s="11">
        <v>45658</v>
      </c>
      <c r="G19" s="11">
        <v>45661</v>
      </c>
      <c r="H19" t="s">
        <v>27</v>
      </c>
      <c r="I19" t="s">
        <v>18</v>
      </c>
      <c r="J19">
        <v>4</v>
      </c>
      <c r="K19" t="s">
        <v>19</v>
      </c>
      <c r="L19" t="s">
        <v>59</v>
      </c>
      <c r="M19">
        <v>3</v>
      </c>
      <c r="N19">
        <v>1</v>
      </c>
      <c r="O19" t="s">
        <v>2533</v>
      </c>
    </row>
    <row r="20" spans="1:15">
      <c r="A20" t="s">
        <v>60</v>
      </c>
      <c r="B20" t="s">
        <v>39</v>
      </c>
      <c r="C20">
        <v>8</v>
      </c>
      <c r="D20">
        <v>51.1</v>
      </c>
      <c r="E20">
        <v>408.8</v>
      </c>
      <c r="F20" s="11">
        <v>45658</v>
      </c>
      <c r="G20" s="11">
        <v>45661</v>
      </c>
      <c r="H20" t="s">
        <v>27</v>
      </c>
      <c r="I20" t="s">
        <v>40</v>
      </c>
      <c r="J20">
        <v>1</v>
      </c>
      <c r="K20" t="s">
        <v>19</v>
      </c>
      <c r="L20" t="s">
        <v>59</v>
      </c>
      <c r="M20">
        <v>3</v>
      </c>
      <c r="N20">
        <v>1</v>
      </c>
      <c r="O20" t="s">
        <v>2533</v>
      </c>
    </row>
    <row r="21" spans="1:15">
      <c r="A21" t="s">
        <v>61</v>
      </c>
      <c r="B21" t="s">
        <v>46</v>
      </c>
      <c r="C21">
        <v>1</v>
      </c>
      <c r="D21">
        <v>25.2</v>
      </c>
      <c r="E21">
        <v>25.2</v>
      </c>
      <c r="F21" s="11">
        <v>45658</v>
      </c>
      <c r="G21" s="11">
        <v>45659</v>
      </c>
      <c r="H21" t="s">
        <v>27</v>
      </c>
      <c r="I21" t="s">
        <v>35</v>
      </c>
      <c r="J21">
        <v>5</v>
      </c>
      <c r="K21" t="s">
        <v>19</v>
      </c>
      <c r="L21" t="s">
        <v>62</v>
      </c>
      <c r="M21">
        <v>1</v>
      </c>
      <c r="N21">
        <v>1</v>
      </c>
      <c r="O21" t="s">
        <v>2533</v>
      </c>
    </row>
    <row r="22" spans="1:15">
      <c r="A22" t="s">
        <v>63</v>
      </c>
      <c r="B22" t="s">
        <v>46</v>
      </c>
      <c r="C22">
        <v>5</v>
      </c>
      <c r="D22">
        <v>43.8</v>
      </c>
      <c r="E22">
        <v>219</v>
      </c>
      <c r="F22" s="11">
        <v>45658</v>
      </c>
      <c r="G22" s="11">
        <v>45661</v>
      </c>
      <c r="H22" t="s">
        <v>27</v>
      </c>
      <c r="I22" t="s">
        <v>40</v>
      </c>
      <c r="J22">
        <v>4</v>
      </c>
      <c r="K22" t="s">
        <v>19</v>
      </c>
      <c r="L22" t="s">
        <v>62</v>
      </c>
      <c r="M22">
        <v>3</v>
      </c>
      <c r="N22">
        <v>1</v>
      </c>
      <c r="O22" t="s">
        <v>2533</v>
      </c>
    </row>
    <row r="23" spans="1:15">
      <c r="A23" t="s">
        <v>64</v>
      </c>
      <c r="B23" t="s">
        <v>44</v>
      </c>
      <c r="C23">
        <v>12</v>
      </c>
      <c r="D23">
        <v>46.7</v>
      </c>
      <c r="E23">
        <v>560.40000000000009</v>
      </c>
      <c r="F23" s="11">
        <v>45658</v>
      </c>
      <c r="G23" s="11">
        <v>45659</v>
      </c>
      <c r="H23" t="s">
        <v>27</v>
      </c>
      <c r="I23" t="s">
        <v>35</v>
      </c>
      <c r="J23">
        <v>3</v>
      </c>
      <c r="K23" t="s">
        <v>19</v>
      </c>
      <c r="L23" t="s">
        <v>62</v>
      </c>
      <c r="M23">
        <v>1</v>
      </c>
      <c r="N23">
        <v>1</v>
      </c>
      <c r="O23" t="s">
        <v>2533</v>
      </c>
    </row>
    <row r="24" spans="1:15">
      <c r="A24" t="s">
        <v>65</v>
      </c>
      <c r="B24" t="s">
        <v>30</v>
      </c>
      <c r="C24">
        <v>19</v>
      </c>
      <c r="D24">
        <v>79.900000000000006</v>
      </c>
      <c r="E24">
        <v>1518.1000000000001</v>
      </c>
      <c r="F24" s="11">
        <v>45658</v>
      </c>
      <c r="G24" s="11">
        <v>45659</v>
      </c>
      <c r="H24" t="s">
        <v>23</v>
      </c>
      <c r="I24" t="s">
        <v>18</v>
      </c>
      <c r="J24">
        <v>5</v>
      </c>
      <c r="K24" t="s">
        <v>19</v>
      </c>
      <c r="L24" t="s">
        <v>62</v>
      </c>
      <c r="M24">
        <v>1</v>
      </c>
      <c r="N24">
        <v>1</v>
      </c>
      <c r="O24" t="s">
        <v>2532</v>
      </c>
    </row>
    <row r="25" spans="1:15">
      <c r="A25" t="s">
        <v>66</v>
      </c>
      <c r="B25" t="s">
        <v>67</v>
      </c>
      <c r="C25">
        <v>8</v>
      </c>
      <c r="D25">
        <v>26.4</v>
      </c>
      <c r="E25">
        <v>211.2</v>
      </c>
      <c r="F25" s="11">
        <v>45658</v>
      </c>
      <c r="G25" s="11">
        <v>45659</v>
      </c>
      <c r="H25" t="s">
        <v>27</v>
      </c>
      <c r="I25" t="s">
        <v>51</v>
      </c>
      <c r="J25">
        <v>4</v>
      </c>
      <c r="K25" t="s">
        <v>19</v>
      </c>
      <c r="L25" t="s">
        <v>62</v>
      </c>
      <c r="M25">
        <v>1</v>
      </c>
      <c r="N25">
        <v>1</v>
      </c>
      <c r="O25" t="s">
        <v>2533</v>
      </c>
    </row>
    <row r="26" spans="1:15">
      <c r="A26" t="s">
        <v>68</v>
      </c>
      <c r="B26" t="s">
        <v>69</v>
      </c>
      <c r="C26">
        <v>8</v>
      </c>
      <c r="D26">
        <v>88.8</v>
      </c>
      <c r="E26">
        <v>710.4</v>
      </c>
      <c r="F26" s="11">
        <v>45658</v>
      </c>
      <c r="G26" s="11">
        <v>45659</v>
      </c>
      <c r="H26" t="s">
        <v>27</v>
      </c>
      <c r="I26" t="s">
        <v>70</v>
      </c>
      <c r="J26">
        <v>4</v>
      </c>
      <c r="K26" t="s">
        <v>19</v>
      </c>
      <c r="L26" t="s">
        <v>62</v>
      </c>
      <c r="M26">
        <v>1</v>
      </c>
      <c r="N26">
        <v>1</v>
      </c>
      <c r="O26" t="s">
        <v>2533</v>
      </c>
    </row>
    <row r="27" spans="1:15">
      <c r="A27" t="s">
        <v>71</v>
      </c>
      <c r="B27" t="s">
        <v>16</v>
      </c>
      <c r="C27">
        <v>10</v>
      </c>
      <c r="D27">
        <v>17.5</v>
      </c>
      <c r="E27">
        <v>175</v>
      </c>
      <c r="F27" s="11">
        <v>45658</v>
      </c>
      <c r="G27" s="11">
        <v>45659</v>
      </c>
      <c r="H27" t="s">
        <v>27</v>
      </c>
      <c r="I27" t="s">
        <v>40</v>
      </c>
      <c r="J27">
        <v>4</v>
      </c>
      <c r="K27" t="s">
        <v>19</v>
      </c>
      <c r="L27" t="s">
        <v>72</v>
      </c>
      <c r="M27">
        <v>1</v>
      </c>
      <c r="N27">
        <v>1</v>
      </c>
      <c r="O27" t="s">
        <v>2533</v>
      </c>
    </row>
    <row r="28" spans="1:15">
      <c r="A28" t="s">
        <v>73</v>
      </c>
      <c r="B28" t="s">
        <v>22</v>
      </c>
      <c r="C28">
        <v>9</v>
      </c>
      <c r="D28">
        <v>38.700000000000003</v>
      </c>
      <c r="E28">
        <v>348.3</v>
      </c>
      <c r="F28" s="11">
        <v>45658</v>
      </c>
      <c r="G28" s="11">
        <v>45661</v>
      </c>
      <c r="H28" t="s">
        <v>23</v>
      </c>
      <c r="I28" t="s">
        <v>35</v>
      </c>
      <c r="J28">
        <v>4</v>
      </c>
      <c r="K28" t="s">
        <v>19</v>
      </c>
      <c r="L28" t="s">
        <v>74</v>
      </c>
      <c r="M28">
        <v>3</v>
      </c>
      <c r="N28">
        <v>1</v>
      </c>
      <c r="O28" t="s">
        <v>2532</v>
      </c>
    </row>
    <row r="29" spans="1:15">
      <c r="A29" t="s">
        <v>75</v>
      </c>
      <c r="B29" t="s">
        <v>76</v>
      </c>
      <c r="C29">
        <v>4</v>
      </c>
      <c r="D29">
        <v>57.2</v>
      </c>
      <c r="E29">
        <v>228.8</v>
      </c>
      <c r="F29" s="11">
        <v>45658</v>
      </c>
      <c r="G29" s="11">
        <v>45660</v>
      </c>
      <c r="H29" t="s">
        <v>17</v>
      </c>
      <c r="I29" t="s">
        <v>35</v>
      </c>
      <c r="J29">
        <v>5</v>
      </c>
      <c r="K29" t="s">
        <v>19</v>
      </c>
      <c r="L29" t="s">
        <v>77</v>
      </c>
      <c r="M29">
        <v>2</v>
      </c>
      <c r="N29">
        <v>1</v>
      </c>
      <c r="O29" t="s">
        <v>2531</v>
      </c>
    </row>
    <row r="30" spans="1:15">
      <c r="A30" t="s">
        <v>78</v>
      </c>
      <c r="B30" t="s">
        <v>39</v>
      </c>
      <c r="C30">
        <v>5</v>
      </c>
      <c r="D30">
        <v>50.9</v>
      </c>
      <c r="E30">
        <v>254.5</v>
      </c>
      <c r="F30" s="11">
        <v>45658</v>
      </c>
      <c r="G30" s="11">
        <v>45664</v>
      </c>
      <c r="H30" t="s">
        <v>17</v>
      </c>
      <c r="I30" t="s">
        <v>35</v>
      </c>
      <c r="J30">
        <v>5</v>
      </c>
      <c r="K30" t="s">
        <v>19</v>
      </c>
      <c r="L30" t="s">
        <v>79</v>
      </c>
      <c r="M30">
        <v>6</v>
      </c>
      <c r="N30">
        <v>1</v>
      </c>
      <c r="O30" t="s">
        <v>2531</v>
      </c>
    </row>
    <row r="31" spans="1:15">
      <c r="A31" t="s">
        <v>80</v>
      </c>
      <c r="B31" t="s">
        <v>81</v>
      </c>
      <c r="C31">
        <v>7</v>
      </c>
      <c r="D31">
        <v>41</v>
      </c>
      <c r="E31">
        <v>287</v>
      </c>
      <c r="F31" s="11">
        <v>45658</v>
      </c>
      <c r="G31" s="11">
        <v>45662</v>
      </c>
      <c r="H31" t="s">
        <v>27</v>
      </c>
      <c r="I31" t="s">
        <v>35</v>
      </c>
      <c r="J31">
        <v>4</v>
      </c>
      <c r="K31" t="s">
        <v>19</v>
      </c>
      <c r="L31" t="s">
        <v>82</v>
      </c>
      <c r="M31">
        <v>4</v>
      </c>
      <c r="N31">
        <v>1</v>
      </c>
      <c r="O31" t="s">
        <v>2533</v>
      </c>
    </row>
    <row r="32" spans="1:15">
      <c r="A32" t="s">
        <v>83</v>
      </c>
      <c r="B32" t="s">
        <v>44</v>
      </c>
      <c r="C32">
        <v>7</v>
      </c>
      <c r="D32">
        <v>19.100000000000001</v>
      </c>
      <c r="E32">
        <v>133.70000000000002</v>
      </c>
      <c r="F32" s="11">
        <v>45658</v>
      </c>
      <c r="G32" s="11">
        <v>45662</v>
      </c>
      <c r="H32" t="s">
        <v>23</v>
      </c>
      <c r="I32" t="s">
        <v>18</v>
      </c>
      <c r="J32">
        <v>5</v>
      </c>
      <c r="K32" t="s">
        <v>19</v>
      </c>
      <c r="L32" t="s">
        <v>84</v>
      </c>
      <c r="M32">
        <v>4</v>
      </c>
      <c r="N32">
        <v>1</v>
      </c>
      <c r="O32" t="s">
        <v>2532</v>
      </c>
    </row>
    <row r="33" spans="1:15">
      <c r="A33" t="s">
        <v>85</v>
      </c>
      <c r="B33" t="s">
        <v>26</v>
      </c>
      <c r="C33">
        <v>5</v>
      </c>
      <c r="D33">
        <v>166.1</v>
      </c>
      <c r="E33">
        <v>830.5</v>
      </c>
      <c r="F33" s="11">
        <v>45658</v>
      </c>
      <c r="G33" s="11">
        <v>45661</v>
      </c>
      <c r="H33" t="s">
        <v>23</v>
      </c>
      <c r="I33" t="s">
        <v>18</v>
      </c>
      <c r="J33">
        <v>4</v>
      </c>
      <c r="K33" t="s">
        <v>19</v>
      </c>
      <c r="L33" t="s">
        <v>86</v>
      </c>
      <c r="M33">
        <v>3</v>
      </c>
      <c r="N33">
        <v>1</v>
      </c>
      <c r="O33" t="s">
        <v>2532</v>
      </c>
    </row>
    <row r="34" spans="1:15">
      <c r="A34" t="s">
        <v>87</v>
      </c>
      <c r="B34" t="s">
        <v>32</v>
      </c>
      <c r="C34">
        <v>3</v>
      </c>
      <c r="D34">
        <v>29.9</v>
      </c>
      <c r="E34">
        <v>89.699999999999989</v>
      </c>
      <c r="F34" s="11">
        <v>45658</v>
      </c>
      <c r="G34" s="11">
        <v>45659</v>
      </c>
      <c r="H34" t="s">
        <v>23</v>
      </c>
      <c r="I34" t="s">
        <v>51</v>
      </c>
      <c r="J34">
        <v>4</v>
      </c>
      <c r="K34" t="s">
        <v>19</v>
      </c>
      <c r="L34" t="s">
        <v>33</v>
      </c>
      <c r="M34">
        <v>1</v>
      </c>
      <c r="N34">
        <v>1</v>
      </c>
      <c r="O34" t="s">
        <v>2532</v>
      </c>
    </row>
    <row r="35" spans="1:15">
      <c r="A35" t="s">
        <v>88</v>
      </c>
      <c r="B35" t="s">
        <v>54</v>
      </c>
      <c r="C35">
        <v>6</v>
      </c>
      <c r="D35">
        <v>21.7</v>
      </c>
      <c r="E35">
        <v>130.19999999999999</v>
      </c>
      <c r="F35" s="11">
        <v>45658</v>
      </c>
      <c r="G35" s="11">
        <v>45660</v>
      </c>
      <c r="H35" t="s">
        <v>89</v>
      </c>
      <c r="I35" t="s">
        <v>40</v>
      </c>
      <c r="J35">
        <v>5</v>
      </c>
      <c r="K35" t="s">
        <v>19</v>
      </c>
      <c r="L35" t="s">
        <v>33</v>
      </c>
      <c r="M35">
        <v>2</v>
      </c>
      <c r="N35">
        <v>1</v>
      </c>
      <c r="O35" t="s">
        <v>2534</v>
      </c>
    </row>
    <row r="36" spans="1:15">
      <c r="A36" t="s">
        <v>90</v>
      </c>
      <c r="B36" t="s">
        <v>67</v>
      </c>
      <c r="C36">
        <v>2</v>
      </c>
      <c r="D36">
        <v>32</v>
      </c>
      <c r="E36">
        <v>64</v>
      </c>
      <c r="F36" s="11">
        <v>45658</v>
      </c>
      <c r="G36" s="11">
        <v>45661</v>
      </c>
      <c r="H36" t="s">
        <v>23</v>
      </c>
      <c r="I36" t="s">
        <v>18</v>
      </c>
      <c r="J36">
        <v>5</v>
      </c>
      <c r="K36" t="s">
        <v>19</v>
      </c>
      <c r="L36" t="s">
        <v>33</v>
      </c>
      <c r="M36">
        <v>3</v>
      </c>
      <c r="N36">
        <v>1</v>
      </c>
      <c r="O36" t="s">
        <v>2532</v>
      </c>
    </row>
    <row r="37" spans="1:15">
      <c r="A37" t="s">
        <v>91</v>
      </c>
      <c r="B37" t="s">
        <v>44</v>
      </c>
      <c r="C37">
        <v>2</v>
      </c>
      <c r="D37">
        <v>15.8</v>
      </c>
      <c r="E37">
        <v>31.6</v>
      </c>
      <c r="F37" s="11">
        <v>45658</v>
      </c>
      <c r="G37" s="11">
        <v>45659</v>
      </c>
      <c r="H37" t="s">
        <v>23</v>
      </c>
      <c r="I37" t="s">
        <v>70</v>
      </c>
      <c r="J37">
        <v>5</v>
      </c>
      <c r="K37" t="s">
        <v>19</v>
      </c>
      <c r="L37" t="s">
        <v>33</v>
      </c>
      <c r="M37">
        <v>1</v>
      </c>
      <c r="N37">
        <v>1</v>
      </c>
      <c r="O37" t="s">
        <v>2532</v>
      </c>
    </row>
    <row r="38" spans="1:15">
      <c r="A38" t="s">
        <v>92</v>
      </c>
      <c r="B38" t="s">
        <v>26</v>
      </c>
      <c r="C38">
        <v>17</v>
      </c>
      <c r="D38">
        <v>203.1</v>
      </c>
      <c r="E38">
        <v>3452.7</v>
      </c>
      <c r="F38" s="11">
        <v>45658</v>
      </c>
      <c r="G38" s="11">
        <v>45662</v>
      </c>
      <c r="H38" t="s">
        <v>23</v>
      </c>
      <c r="I38" t="s">
        <v>51</v>
      </c>
      <c r="J38">
        <v>3</v>
      </c>
      <c r="K38" t="s">
        <v>19</v>
      </c>
      <c r="L38" t="s">
        <v>33</v>
      </c>
      <c r="M38">
        <v>4</v>
      </c>
      <c r="N38">
        <v>1</v>
      </c>
      <c r="O38" t="s">
        <v>2532</v>
      </c>
    </row>
    <row r="39" spans="1:15">
      <c r="A39" t="s">
        <v>93</v>
      </c>
      <c r="B39" t="s">
        <v>42</v>
      </c>
      <c r="C39">
        <v>13</v>
      </c>
      <c r="D39">
        <v>39</v>
      </c>
      <c r="E39">
        <v>507</v>
      </c>
      <c r="F39" s="11">
        <v>45658</v>
      </c>
      <c r="G39" s="11">
        <v>45664</v>
      </c>
      <c r="H39" t="s">
        <v>23</v>
      </c>
      <c r="I39" t="s">
        <v>18</v>
      </c>
      <c r="J39">
        <v>5</v>
      </c>
      <c r="K39" t="s">
        <v>19</v>
      </c>
      <c r="L39" t="s">
        <v>33</v>
      </c>
      <c r="M39">
        <v>6</v>
      </c>
      <c r="N39">
        <v>1</v>
      </c>
      <c r="O39" t="s">
        <v>2532</v>
      </c>
    </row>
    <row r="40" spans="1:15">
      <c r="A40" t="s">
        <v>94</v>
      </c>
      <c r="B40" t="s">
        <v>54</v>
      </c>
      <c r="C40">
        <v>1</v>
      </c>
      <c r="D40">
        <v>26.5</v>
      </c>
      <c r="E40">
        <v>26.5</v>
      </c>
      <c r="F40" s="11">
        <v>45659</v>
      </c>
      <c r="G40" s="11">
        <v>45660</v>
      </c>
      <c r="H40" t="s">
        <v>23</v>
      </c>
      <c r="I40" t="s">
        <v>40</v>
      </c>
      <c r="J40">
        <v>4</v>
      </c>
      <c r="K40" t="s">
        <v>19</v>
      </c>
      <c r="L40" t="s">
        <v>33</v>
      </c>
      <c r="M40">
        <v>1</v>
      </c>
      <c r="N40">
        <v>1</v>
      </c>
      <c r="O40" t="s">
        <v>2532</v>
      </c>
    </row>
    <row r="41" spans="1:15">
      <c r="A41" t="s">
        <v>95</v>
      </c>
      <c r="B41" t="s">
        <v>37</v>
      </c>
      <c r="C41">
        <v>1</v>
      </c>
      <c r="D41">
        <v>43.1</v>
      </c>
      <c r="E41">
        <v>43.1</v>
      </c>
      <c r="F41" s="11">
        <v>45659</v>
      </c>
      <c r="G41" s="11">
        <v>45660</v>
      </c>
      <c r="H41" t="s">
        <v>27</v>
      </c>
      <c r="I41" t="s">
        <v>40</v>
      </c>
      <c r="J41">
        <v>3</v>
      </c>
      <c r="K41" t="s">
        <v>19</v>
      </c>
      <c r="L41" t="s">
        <v>33</v>
      </c>
      <c r="M41">
        <v>1</v>
      </c>
      <c r="N41">
        <v>1</v>
      </c>
      <c r="O41" t="s">
        <v>2533</v>
      </c>
    </row>
    <row r="42" spans="1:15">
      <c r="A42" t="s">
        <v>96</v>
      </c>
      <c r="B42" t="s">
        <v>22</v>
      </c>
      <c r="C42">
        <v>3</v>
      </c>
      <c r="D42">
        <v>139</v>
      </c>
      <c r="E42">
        <v>417</v>
      </c>
      <c r="F42" s="11">
        <v>45659</v>
      </c>
      <c r="G42" s="11">
        <v>45660</v>
      </c>
      <c r="H42" t="s">
        <v>27</v>
      </c>
      <c r="I42" t="s">
        <v>70</v>
      </c>
      <c r="J42">
        <v>5</v>
      </c>
      <c r="K42" t="s">
        <v>19</v>
      </c>
      <c r="L42" t="s">
        <v>33</v>
      </c>
      <c r="M42">
        <v>1</v>
      </c>
      <c r="N42">
        <v>1</v>
      </c>
      <c r="O42" t="s">
        <v>2533</v>
      </c>
    </row>
    <row r="43" spans="1:15">
      <c r="A43" t="s">
        <v>97</v>
      </c>
      <c r="B43" t="s">
        <v>69</v>
      </c>
      <c r="C43">
        <v>1</v>
      </c>
      <c r="D43">
        <v>80.7</v>
      </c>
      <c r="E43">
        <v>80.7</v>
      </c>
      <c r="F43" s="11">
        <v>45659</v>
      </c>
      <c r="G43" s="11">
        <v>45660</v>
      </c>
      <c r="H43" t="s">
        <v>23</v>
      </c>
      <c r="I43" t="s">
        <v>18</v>
      </c>
      <c r="J43">
        <v>5</v>
      </c>
      <c r="K43" t="s">
        <v>19</v>
      </c>
      <c r="L43" t="s">
        <v>98</v>
      </c>
      <c r="M43">
        <v>1</v>
      </c>
      <c r="N43">
        <v>1</v>
      </c>
      <c r="O43" t="s">
        <v>2532</v>
      </c>
    </row>
    <row r="44" spans="1:15">
      <c r="A44" t="s">
        <v>99</v>
      </c>
      <c r="B44" t="s">
        <v>32</v>
      </c>
      <c r="C44">
        <v>2</v>
      </c>
      <c r="D44">
        <v>54.5</v>
      </c>
      <c r="E44">
        <v>109</v>
      </c>
      <c r="F44" s="11">
        <v>45659</v>
      </c>
      <c r="G44" s="11">
        <v>45661</v>
      </c>
      <c r="H44" t="s">
        <v>23</v>
      </c>
      <c r="I44" t="s">
        <v>35</v>
      </c>
      <c r="J44">
        <v>3</v>
      </c>
      <c r="K44" t="s">
        <v>19</v>
      </c>
      <c r="L44" t="s">
        <v>55</v>
      </c>
      <c r="M44">
        <v>2</v>
      </c>
      <c r="N44">
        <v>1</v>
      </c>
      <c r="O44" t="s">
        <v>2532</v>
      </c>
    </row>
    <row r="45" spans="1:15">
      <c r="A45" t="s">
        <v>100</v>
      </c>
      <c r="B45" t="s">
        <v>39</v>
      </c>
      <c r="C45">
        <v>3</v>
      </c>
      <c r="D45">
        <v>68.599999999999994</v>
      </c>
      <c r="E45">
        <v>205.79999999999998</v>
      </c>
      <c r="F45" s="11">
        <v>45659</v>
      </c>
      <c r="G45" s="11">
        <v>45659</v>
      </c>
      <c r="H45" t="s">
        <v>27</v>
      </c>
      <c r="I45" t="s">
        <v>18</v>
      </c>
      <c r="J45">
        <v>3</v>
      </c>
      <c r="K45" t="s">
        <v>19</v>
      </c>
      <c r="L45" t="s">
        <v>62</v>
      </c>
      <c r="M45">
        <v>0</v>
      </c>
      <c r="N45">
        <v>1</v>
      </c>
      <c r="O45" t="s">
        <v>2533</v>
      </c>
    </row>
    <row r="46" spans="1:15">
      <c r="A46" t="s">
        <v>101</v>
      </c>
      <c r="B46" t="s">
        <v>26</v>
      </c>
      <c r="C46">
        <v>4</v>
      </c>
      <c r="D46">
        <v>135.9</v>
      </c>
      <c r="E46">
        <v>543.6</v>
      </c>
      <c r="F46" s="11">
        <v>45659</v>
      </c>
      <c r="G46" s="11">
        <v>45660</v>
      </c>
      <c r="H46" t="s">
        <v>27</v>
      </c>
      <c r="I46" t="s">
        <v>40</v>
      </c>
      <c r="J46">
        <v>5</v>
      </c>
      <c r="K46" t="s">
        <v>19</v>
      </c>
      <c r="L46" t="s">
        <v>62</v>
      </c>
      <c r="M46">
        <v>1</v>
      </c>
      <c r="N46">
        <v>1</v>
      </c>
      <c r="O46" t="s">
        <v>2533</v>
      </c>
    </row>
    <row r="47" spans="1:15">
      <c r="A47" t="s">
        <v>102</v>
      </c>
      <c r="B47" t="s">
        <v>26</v>
      </c>
      <c r="C47">
        <v>4</v>
      </c>
      <c r="D47">
        <v>70.900000000000006</v>
      </c>
      <c r="E47">
        <v>283.60000000000002</v>
      </c>
      <c r="F47" s="11">
        <v>45659</v>
      </c>
      <c r="G47" s="11">
        <v>45660</v>
      </c>
      <c r="H47" t="s">
        <v>27</v>
      </c>
      <c r="I47" t="s">
        <v>18</v>
      </c>
      <c r="J47">
        <v>4</v>
      </c>
      <c r="K47" t="s">
        <v>19</v>
      </c>
      <c r="L47" t="s">
        <v>103</v>
      </c>
      <c r="M47">
        <v>1</v>
      </c>
      <c r="N47">
        <v>1</v>
      </c>
      <c r="O47" t="s">
        <v>2533</v>
      </c>
    </row>
    <row r="48" spans="1:15">
      <c r="A48" t="s">
        <v>104</v>
      </c>
      <c r="B48" t="s">
        <v>22</v>
      </c>
      <c r="C48">
        <v>5</v>
      </c>
      <c r="D48">
        <v>63.7</v>
      </c>
      <c r="E48">
        <v>318.5</v>
      </c>
      <c r="F48" s="11">
        <v>45659</v>
      </c>
      <c r="G48" s="11">
        <v>45660</v>
      </c>
      <c r="H48" t="s">
        <v>23</v>
      </c>
      <c r="I48" t="s">
        <v>35</v>
      </c>
      <c r="J48">
        <v>3</v>
      </c>
      <c r="K48" t="s">
        <v>19</v>
      </c>
      <c r="L48" t="s">
        <v>72</v>
      </c>
      <c r="M48">
        <v>1</v>
      </c>
      <c r="N48">
        <v>1</v>
      </c>
      <c r="O48" t="s">
        <v>2532</v>
      </c>
    </row>
    <row r="49" spans="1:15">
      <c r="A49" t="s">
        <v>105</v>
      </c>
      <c r="B49" t="s">
        <v>76</v>
      </c>
      <c r="C49">
        <v>1</v>
      </c>
      <c r="D49">
        <v>29.7</v>
      </c>
      <c r="E49">
        <v>29.7</v>
      </c>
      <c r="F49" s="11">
        <v>45659</v>
      </c>
      <c r="G49" s="11">
        <v>45661</v>
      </c>
      <c r="H49" t="s">
        <v>27</v>
      </c>
      <c r="I49" t="s">
        <v>35</v>
      </c>
      <c r="J49">
        <v>4</v>
      </c>
      <c r="K49" t="s">
        <v>19</v>
      </c>
      <c r="L49" t="s">
        <v>77</v>
      </c>
      <c r="M49">
        <v>2</v>
      </c>
      <c r="N49">
        <v>1</v>
      </c>
      <c r="O49" t="s">
        <v>2533</v>
      </c>
    </row>
    <row r="50" spans="1:15">
      <c r="A50" t="s">
        <v>106</v>
      </c>
      <c r="B50" t="s">
        <v>32</v>
      </c>
      <c r="C50">
        <v>3</v>
      </c>
      <c r="D50">
        <v>26.8</v>
      </c>
      <c r="E50">
        <v>80.400000000000006</v>
      </c>
      <c r="F50" s="11">
        <v>45659</v>
      </c>
      <c r="G50" s="11">
        <v>45668</v>
      </c>
      <c r="H50" t="s">
        <v>27</v>
      </c>
      <c r="I50" t="s">
        <v>35</v>
      </c>
      <c r="J50">
        <v>5</v>
      </c>
      <c r="K50" t="s">
        <v>19</v>
      </c>
      <c r="L50" t="s">
        <v>77</v>
      </c>
      <c r="M50">
        <v>9</v>
      </c>
      <c r="N50">
        <v>1</v>
      </c>
      <c r="O50" t="s">
        <v>2533</v>
      </c>
    </row>
    <row r="51" spans="1:15">
      <c r="A51" t="s">
        <v>107</v>
      </c>
      <c r="B51" t="s">
        <v>81</v>
      </c>
      <c r="C51">
        <v>1</v>
      </c>
      <c r="D51">
        <v>27</v>
      </c>
      <c r="E51">
        <v>27</v>
      </c>
      <c r="F51" s="11">
        <v>45659</v>
      </c>
      <c r="G51" s="11">
        <v>45661</v>
      </c>
      <c r="H51" t="s">
        <v>27</v>
      </c>
      <c r="I51" t="s">
        <v>18</v>
      </c>
      <c r="J51">
        <v>4</v>
      </c>
      <c r="K51" t="s">
        <v>19</v>
      </c>
      <c r="L51" t="s">
        <v>108</v>
      </c>
      <c r="M51">
        <v>2</v>
      </c>
      <c r="N51">
        <v>1</v>
      </c>
      <c r="O51" t="s">
        <v>2533</v>
      </c>
    </row>
    <row r="52" spans="1:15">
      <c r="A52" t="s">
        <v>109</v>
      </c>
      <c r="B52" t="s">
        <v>44</v>
      </c>
      <c r="C52">
        <v>1</v>
      </c>
      <c r="D52">
        <v>41.4</v>
      </c>
      <c r="E52">
        <v>41.4</v>
      </c>
      <c r="F52" s="11">
        <v>45659</v>
      </c>
      <c r="G52" s="11">
        <v>45660</v>
      </c>
      <c r="H52" t="s">
        <v>23</v>
      </c>
      <c r="I52" t="s">
        <v>35</v>
      </c>
      <c r="J52">
        <v>5</v>
      </c>
      <c r="K52" t="s">
        <v>19</v>
      </c>
      <c r="L52" t="s">
        <v>110</v>
      </c>
      <c r="M52">
        <v>1</v>
      </c>
      <c r="N52">
        <v>1</v>
      </c>
      <c r="O52" t="s">
        <v>2532</v>
      </c>
    </row>
    <row r="53" spans="1:15">
      <c r="A53" t="s">
        <v>111</v>
      </c>
      <c r="B53" t="s">
        <v>44</v>
      </c>
      <c r="C53">
        <v>2</v>
      </c>
      <c r="D53">
        <v>24.3</v>
      </c>
      <c r="E53">
        <v>48.6</v>
      </c>
      <c r="F53" s="11">
        <v>45659</v>
      </c>
      <c r="G53" s="11">
        <v>45662</v>
      </c>
      <c r="H53" t="s">
        <v>27</v>
      </c>
      <c r="I53" t="s">
        <v>35</v>
      </c>
      <c r="J53">
        <v>4</v>
      </c>
      <c r="K53" t="s">
        <v>19</v>
      </c>
      <c r="L53" t="s">
        <v>110</v>
      </c>
      <c r="M53">
        <v>3</v>
      </c>
      <c r="N53">
        <v>1</v>
      </c>
      <c r="O53" t="s">
        <v>2533</v>
      </c>
    </row>
    <row r="54" spans="1:15">
      <c r="A54" t="s">
        <v>112</v>
      </c>
      <c r="B54" t="s">
        <v>44</v>
      </c>
      <c r="C54">
        <v>3</v>
      </c>
      <c r="D54">
        <v>41.7</v>
      </c>
      <c r="E54">
        <v>125.10000000000001</v>
      </c>
      <c r="F54" s="11">
        <v>45659</v>
      </c>
      <c r="G54" s="11">
        <v>45661</v>
      </c>
      <c r="H54" t="s">
        <v>23</v>
      </c>
      <c r="I54" t="s">
        <v>18</v>
      </c>
      <c r="J54">
        <v>5</v>
      </c>
      <c r="K54" t="s">
        <v>19</v>
      </c>
      <c r="L54" t="s">
        <v>113</v>
      </c>
      <c r="M54">
        <v>2</v>
      </c>
      <c r="N54">
        <v>1</v>
      </c>
      <c r="O54" t="s">
        <v>2532</v>
      </c>
    </row>
    <row r="55" spans="1:15">
      <c r="A55" t="s">
        <v>114</v>
      </c>
      <c r="B55" t="s">
        <v>16</v>
      </c>
      <c r="C55">
        <v>2</v>
      </c>
      <c r="D55">
        <v>18</v>
      </c>
      <c r="E55">
        <v>36</v>
      </c>
      <c r="F55" s="11">
        <v>45659</v>
      </c>
      <c r="G55" s="11">
        <v>45660</v>
      </c>
      <c r="H55" t="s">
        <v>27</v>
      </c>
      <c r="I55" t="s">
        <v>18</v>
      </c>
      <c r="J55">
        <v>5</v>
      </c>
      <c r="K55" t="s">
        <v>19</v>
      </c>
      <c r="L55" t="s">
        <v>115</v>
      </c>
      <c r="M55">
        <v>1</v>
      </c>
      <c r="N55">
        <v>1</v>
      </c>
      <c r="O55" t="s">
        <v>2533</v>
      </c>
    </row>
    <row r="56" spans="1:15">
      <c r="A56" t="s">
        <v>116</v>
      </c>
      <c r="B56" t="s">
        <v>42</v>
      </c>
      <c r="C56">
        <v>3</v>
      </c>
      <c r="D56">
        <v>91.3</v>
      </c>
      <c r="E56">
        <v>273.89999999999998</v>
      </c>
      <c r="F56" s="11">
        <v>45659</v>
      </c>
      <c r="G56" s="11">
        <v>45662</v>
      </c>
      <c r="H56" t="s">
        <v>23</v>
      </c>
      <c r="I56" t="s">
        <v>40</v>
      </c>
      <c r="J56">
        <v>5</v>
      </c>
      <c r="K56" t="s">
        <v>19</v>
      </c>
      <c r="L56" t="s">
        <v>33</v>
      </c>
      <c r="M56">
        <v>3</v>
      </c>
      <c r="N56">
        <v>1</v>
      </c>
      <c r="O56" t="s">
        <v>2532</v>
      </c>
    </row>
    <row r="57" spans="1:15">
      <c r="A57" t="s">
        <v>117</v>
      </c>
      <c r="B57" t="s">
        <v>44</v>
      </c>
      <c r="C57">
        <v>8</v>
      </c>
      <c r="D57">
        <v>19.3</v>
      </c>
      <c r="E57">
        <v>154.4</v>
      </c>
      <c r="F57" s="11">
        <v>45659</v>
      </c>
      <c r="G57" s="11">
        <v>45660</v>
      </c>
      <c r="H57" t="s">
        <v>23</v>
      </c>
      <c r="I57" t="s">
        <v>18</v>
      </c>
      <c r="J57">
        <v>4</v>
      </c>
      <c r="K57" t="s">
        <v>19</v>
      </c>
      <c r="L57" t="s">
        <v>33</v>
      </c>
      <c r="M57">
        <v>1</v>
      </c>
      <c r="N57">
        <v>1</v>
      </c>
      <c r="O57" t="s">
        <v>2532</v>
      </c>
    </row>
    <row r="58" spans="1:15">
      <c r="A58" t="s">
        <v>118</v>
      </c>
      <c r="B58" t="s">
        <v>69</v>
      </c>
      <c r="C58">
        <v>13</v>
      </c>
      <c r="D58">
        <v>63.2</v>
      </c>
      <c r="E58">
        <v>821.6</v>
      </c>
      <c r="F58" s="11">
        <v>45659</v>
      </c>
      <c r="G58" s="11">
        <v>45660</v>
      </c>
      <c r="H58" t="s">
        <v>27</v>
      </c>
      <c r="I58" t="s">
        <v>18</v>
      </c>
      <c r="J58">
        <v>4</v>
      </c>
      <c r="K58" t="s">
        <v>19</v>
      </c>
      <c r="L58" t="s">
        <v>33</v>
      </c>
      <c r="M58">
        <v>1</v>
      </c>
      <c r="N58">
        <v>1</v>
      </c>
      <c r="O58" t="s">
        <v>2533</v>
      </c>
    </row>
    <row r="59" spans="1:15">
      <c r="A59" t="s">
        <v>119</v>
      </c>
      <c r="B59" t="s">
        <v>54</v>
      </c>
      <c r="C59">
        <v>9</v>
      </c>
      <c r="D59">
        <v>33.299999999999997</v>
      </c>
      <c r="E59">
        <v>299.7</v>
      </c>
      <c r="F59" s="11">
        <v>45660</v>
      </c>
      <c r="G59" s="11">
        <v>45668</v>
      </c>
      <c r="H59" t="s">
        <v>27</v>
      </c>
      <c r="I59" t="s">
        <v>18</v>
      </c>
      <c r="J59">
        <v>5</v>
      </c>
      <c r="K59" t="s">
        <v>19</v>
      </c>
      <c r="L59" t="s">
        <v>33</v>
      </c>
      <c r="M59">
        <v>8</v>
      </c>
      <c r="N59">
        <v>1</v>
      </c>
      <c r="O59" t="s">
        <v>2533</v>
      </c>
    </row>
    <row r="60" spans="1:15">
      <c r="A60" t="s">
        <v>120</v>
      </c>
      <c r="B60" t="s">
        <v>42</v>
      </c>
      <c r="C60">
        <v>2</v>
      </c>
      <c r="D60">
        <v>64.2</v>
      </c>
      <c r="E60">
        <v>128.4</v>
      </c>
      <c r="F60" s="11">
        <v>45660</v>
      </c>
      <c r="G60" s="11">
        <v>45661</v>
      </c>
      <c r="H60" t="s">
        <v>23</v>
      </c>
      <c r="I60" t="s">
        <v>18</v>
      </c>
      <c r="J60">
        <v>5</v>
      </c>
      <c r="K60" t="s">
        <v>19</v>
      </c>
      <c r="L60" t="s">
        <v>33</v>
      </c>
      <c r="M60">
        <v>1</v>
      </c>
      <c r="N60">
        <v>1</v>
      </c>
      <c r="O60" t="s">
        <v>2532</v>
      </c>
    </row>
    <row r="61" spans="1:15">
      <c r="A61" t="s">
        <v>121</v>
      </c>
      <c r="B61" t="s">
        <v>46</v>
      </c>
      <c r="C61">
        <v>3</v>
      </c>
      <c r="D61">
        <v>23.1</v>
      </c>
      <c r="E61">
        <v>69.300000000000011</v>
      </c>
      <c r="F61" s="11">
        <v>45660</v>
      </c>
      <c r="G61" s="11">
        <v>45663</v>
      </c>
      <c r="H61" t="s">
        <v>27</v>
      </c>
      <c r="I61" t="s">
        <v>35</v>
      </c>
      <c r="J61">
        <v>5</v>
      </c>
      <c r="K61" t="s">
        <v>19</v>
      </c>
      <c r="L61" t="s">
        <v>33</v>
      </c>
      <c r="M61">
        <v>3</v>
      </c>
      <c r="N61">
        <v>1</v>
      </c>
      <c r="O61" t="s">
        <v>2533</v>
      </c>
    </row>
    <row r="62" spans="1:15">
      <c r="A62" t="s">
        <v>122</v>
      </c>
      <c r="B62" t="s">
        <v>123</v>
      </c>
      <c r="C62">
        <v>2</v>
      </c>
      <c r="D62">
        <v>71.099999999999994</v>
      </c>
      <c r="E62">
        <v>142.19999999999999</v>
      </c>
      <c r="F62" s="11">
        <v>45660</v>
      </c>
      <c r="G62" s="11">
        <v>45662</v>
      </c>
      <c r="H62" t="s">
        <v>27</v>
      </c>
      <c r="I62" t="s">
        <v>51</v>
      </c>
      <c r="J62">
        <v>3</v>
      </c>
      <c r="K62" t="s">
        <v>19</v>
      </c>
      <c r="L62" t="s">
        <v>33</v>
      </c>
      <c r="M62">
        <v>2</v>
      </c>
      <c r="N62">
        <v>1</v>
      </c>
      <c r="O62" t="s">
        <v>2533</v>
      </c>
    </row>
    <row r="63" spans="1:15">
      <c r="A63" t="s">
        <v>124</v>
      </c>
      <c r="B63" t="s">
        <v>16</v>
      </c>
      <c r="C63">
        <v>2</v>
      </c>
      <c r="D63">
        <v>11.5</v>
      </c>
      <c r="E63">
        <v>23</v>
      </c>
      <c r="F63" s="11">
        <v>45660</v>
      </c>
      <c r="G63" s="11">
        <v>45661</v>
      </c>
      <c r="H63" t="s">
        <v>27</v>
      </c>
      <c r="I63" t="s">
        <v>18</v>
      </c>
      <c r="J63">
        <v>4</v>
      </c>
      <c r="K63" t="s">
        <v>19</v>
      </c>
      <c r="L63" t="s">
        <v>33</v>
      </c>
      <c r="M63">
        <v>1</v>
      </c>
      <c r="N63">
        <v>1</v>
      </c>
      <c r="O63" t="s">
        <v>2533</v>
      </c>
    </row>
    <row r="64" spans="1:15">
      <c r="A64" t="s">
        <v>125</v>
      </c>
      <c r="B64" t="s">
        <v>123</v>
      </c>
      <c r="C64">
        <v>19</v>
      </c>
      <c r="D64">
        <v>69.2</v>
      </c>
      <c r="E64">
        <v>1314.8</v>
      </c>
      <c r="F64" s="11">
        <v>45660</v>
      </c>
      <c r="G64" s="11">
        <v>45665</v>
      </c>
      <c r="H64" t="s">
        <v>27</v>
      </c>
      <c r="I64" t="s">
        <v>18</v>
      </c>
      <c r="J64">
        <v>4</v>
      </c>
      <c r="K64" t="s">
        <v>19</v>
      </c>
      <c r="L64" t="s">
        <v>33</v>
      </c>
      <c r="M64">
        <v>5</v>
      </c>
      <c r="N64">
        <v>1</v>
      </c>
      <c r="O64" t="s">
        <v>2533</v>
      </c>
    </row>
    <row r="65" spans="1:15">
      <c r="A65" t="s">
        <v>126</v>
      </c>
      <c r="B65" t="s">
        <v>16</v>
      </c>
      <c r="C65">
        <v>1</v>
      </c>
      <c r="D65">
        <v>26.8</v>
      </c>
      <c r="E65">
        <v>26.8</v>
      </c>
      <c r="F65" s="11">
        <v>45660</v>
      </c>
      <c r="G65" s="11">
        <v>45661</v>
      </c>
      <c r="H65" t="s">
        <v>23</v>
      </c>
      <c r="I65" t="s">
        <v>40</v>
      </c>
      <c r="J65">
        <v>2</v>
      </c>
      <c r="K65" t="s">
        <v>19</v>
      </c>
      <c r="L65" t="s">
        <v>33</v>
      </c>
      <c r="M65">
        <v>1</v>
      </c>
      <c r="N65">
        <v>1</v>
      </c>
      <c r="O65" t="s">
        <v>2532</v>
      </c>
    </row>
    <row r="66" spans="1:15">
      <c r="A66" t="s">
        <v>127</v>
      </c>
      <c r="B66" t="s">
        <v>128</v>
      </c>
      <c r="C66">
        <v>3</v>
      </c>
      <c r="D66">
        <v>31.2</v>
      </c>
      <c r="E66">
        <v>93.6</v>
      </c>
      <c r="F66" s="11">
        <v>45660</v>
      </c>
      <c r="G66" s="11">
        <v>45663</v>
      </c>
      <c r="H66" t="s">
        <v>27</v>
      </c>
      <c r="I66" t="s">
        <v>18</v>
      </c>
      <c r="J66">
        <v>4</v>
      </c>
      <c r="K66" t="s">
        <v>19</v>
      </c>
      <c r="L66" t="s">
        <v>33</v>
      </c>
      <c r="M66">
        <v>3</v>
      </c>
      <c r="N66">
        <v>1</v>
      </c>
      <c r="O66" t="s">
        <v>2533</v>
      </c>
    </row>
    <row r="67" spans="1:15">
      <c r="A67" t="s">
        <v>129</v>
      </c>
      <c r="B67" t="s">
        <v>69</v>
      </c>
      <c r="C67">
        <v>2</v>
      </c>
      <c r="D67">
        <v>113.2</v>
      </c>
      <c r="E67">
        <v>226.4</v>
      </c>
      <c r="F67" s="11">
        <v>45660</v>
      </c>
      <c r="G67" s="11">
        <v>45661</v>
      </c>
      <c r="H67" t="s">
        <v>27</v>
      </c>
      <c r="I67" t="s">
        <v>70</v>
      </c>
      <c r="J67">
        <v>4</v>
      </c>
      <c r="K67" t="s">
        <v>19</v>
      </c>
      <c r="L67" t="s">
        <v>33</v>
      </c>
      <c r="M67">
        <v>1</v>
      </c>
      <c r="N67">
        <v>1</v>
      </c>
      <c r="O67" t="s">
        <v>2533</v>
      </c>
    </row>
    <row r="68" spans="1:15">
      <c r="A68" t="s">
        <v>130</v>
      </c>
      <c r="B68" t="s">
        <v>54</v>
      </c>
      <c r="C68">
        <v>8</v>
      </c>
      <c r="D68">
        <v>21</v>
      </c>
      <c r="E68">
        <v>168</v>
      </c>
      <c r="F68" s="11">
        <v>45660</v>
      </c>
      <c r="G68" s="11">
        <v>45661</v>
      </c>
      <c r="H68" t="s">
        <v>23</v>
      </c>
      <c r="I68" t="s">
        <v>18</v>
      </c>
      <c r="J68">
        <v>4</v>
      </c>
      <c r="K68" t="s">
        <v>19</v>
      </c>
      <c r="L68" t="s">
        <v>55</v>
      </c>
      <c r="M68">
        <v>1</v>
      </c>
      <c r="N68">
        <v>1</v>
      </c>
      <c r="O68" t="s">
        <v>2532</v>
      </c>
    </row>
    <row r="69" spans="1:15">
      <c r="A69" t="s">
        <v>131</v>
      </c>
      <c r="B69" t="s">
        <v>22</v>
      </c>
      <c r="C69">
        <v>2</v>
      </c>
      <c r="D69">
        <v>89.1</v>
      </c>
      <c r="E69">
        <v>178.2</v>
      </c>
      <c r="F69" s="11">
        <v>45660</v>
      </c>
      <c r="G69" s="11">
        <v>45661</v>
      </c>
      <c r="H69" t="s">
        <v>27</v>
      </c>
      <c r="I69" t="s">
        <v>40</v>
      </c>
      <c r="J69">
        <v>5</v>
      </c>
      <c r="K69" t="s">
        <v>19</v>
      </c>
      <c r="L69" t="s">
        <v>55</v>
      </c>
      <c r="M69">
        <v>1</v>
      </c>
      <c r="N69">
        <v>1</v>
      </c>
      <c r="O69" t="s">
        <v>2533</v>
      </c>
    </row>
    <row r="70" spans="1:15">
      <c r="A70" t="s">
        <v>132</v>
      </c>
      <c r="B70" t="s">
        <v>22</v>
      </c>
      <c r="C70">
        <v>1</v>
      </c>
      <c r="D70">
        <v>97.7</v>
      </c>
      <c r="E70">
        <v>97.7</v>
      </c>
      <c r="F70" s="11">
        <v>45660</v>
      </c>
      <c r="G70" s="11">
        <v>45662</v>
      </c>
      <c r="H70" t="s">
        <v>27</v>
      </c>
      <c r="I70" t="s">
        <v>18</v>
      </c>
      <c r="J70">
        <v>3</v>
      </c>
      <c r="K70" t="s">
        <v>19</v>
      </c>
      <c r="L70" t="s">
        <v>55</v>
      </c>
      <c r="M70">
        <v>2</v>
      </c>
      <c r="N70">
        <v>1</v>
      </c>
      <c r="O70" t="s">
        <v>2533</v>
      </c>
    </row>
    <row r="71" spans="1:15">
      <c r="A71" t="s">
        <v>133</v>
      </c>
      <c r="B71" t="s">
        <v>123</v>
      </c>
      <c r="C71">
        <v>4</v>
      </c>
      <c r="D71">
        <v>97.7</v>
      </c>
      <c r="E71">
        <v>390.8</v>
      </c>
      <c r="F71" s="11">
        <v>45660</v>
      </c>
      <c r="G71" s="11">
        <v>45662</v>
      </c>
      <c r="H71" t="s">
        <v>23</v>
      </c>
      <c r="I71" t="s">
        <v>51</v>
      </c>
      <c r="J71">
        <v>4</v>
      </c>
      <c r="K71" t="s">
        <v>19</v>
      </c>
      <c r="L71" t="s">
        <v>55</v>
      </c>
      <c r="M71">
        <v>2</v>
      </c>
      <c r="N71">
        <v>1</v>
      </c>
      <c r="O71" t="s">
        <v>2532</v>
      </c>
    </row>
    <row r="72" spans="1:15">
      <c r="A72" t="s">
        <v>134</v>
      </c>
      <c r="B72" t="s">
        <v>135</v>
      </c>
      <c r="C72">
        <v>3</v>
      </c>
      <c r="D72">
        <v>47.4</v>
      </c>
      <c r="E72">
        <v>142.19999999999999</v>
      </c>
      <c r="F72" s="11">
        <v>45660</v>
      </c>
      <c r="G72" s="11">
        <v>45663</v>
      </c>
      <c r="H72" t="s">
        <v>23</v>
      </c>
      <c r="I72" t="s">
        <v>51</v>
      </c>
      <c r="J72">
        <v>5</v>
      </c>
      <c r="K72" t="s">
        <v>19</v>
      </c>
      <c r="L72" t="s">
        <v>62</v>
      </c>
      <c r="M72">
        <v>3</v>
      </c>
      <c r="N72">
        <v>1</v>
      </c>
      <c r="O72" t="s">
        <v>2532</v>
      </c>
    </row>
    <row r="73" spans="1:15">
      <c r="A73" t="s">
        <v>136</v>
      </c>
      <c r="B73" t="s">
        <v>42</v>
      </c>
      <c r="C73">
        <v>1</v>
      </c>
      <c r="D73">
        <v>89.6</v>
      </c>
      <c r="E73">
        <v>89.6</v>
      </c>
      <c r="F73" s="11">
        <v>45660</v>
      </c>
      <c r="G73" s="11">
        <v>45663</v>
      </c>
      <c r="H73" t="s">
        <v>27</v>
      </c>
      <c r="I73" t="s">
        <v>18</v>
      </c>
      <c r="J73">
        <v>5</v>
      </c>
      <c r="K73" t="s">
        <v>19</v>
      </c>
      <c r="L73" t="s">
        <v>62</v>
      </c>
      <c r="M73">
        <v>3</v>
      </c>
      <c r="N73">
        <v>1</v>
      </c>
      <c r="O73" t="s">
        <v>2533</v>
      </c>
    </row>
    <row r="74" spans="1:15">
      <c r="A74" t="s">
        <v>137</v>
      </c>
      <c r="B74" t="s">
        <v>54</v>
      </c>
      <c r="C74">
        <v>18</v>
      </c>
      <c r="D74">
        <v>28.4</v>
      </c>
      <c r="E74">
        <v>511.2</v>
      </c>
      <c r="F74" s="11">
        <v>45660</v>
      </c>
      <c r="G74" s="11">
        <v>45663</v>
      </c>
      <c r="H74" t="s">
        <v>27</v>
      </c>
      <c r="I74" t="s">
        <v>51</v>
      </c>
      <c r="J74">
        <v>5</v>
      </c>
      <c r="K74" t="s">
        <v>19</v>
      </c>
      <c r="L74" t="s">
        <v>103</v>
      </c>
      <c r="M74">
        <v>3</v>
      </c>
      <c r="N74">
        <v>1</v>
      </c>
      <c r="O74" t="s">
        <v>2533</v>
      </c>
    </row>
    <row r="75" spans="1:15">
      <c r="A75" t="s">
        <v>138</v>
      </c>
      <c r="B75" t="s">
        <v>16</v>
      </c>
      <c r="C75">
        <v>2</v>
      </c>
      <c r="D75">
        <v>17.899999999999999</v>
      </c>
      <c r="E75">
        <v>35.799999999999997</v>
      </c>
      <c r="F75" s="11">
        <v>45660</v>
      </c>
      <c r="G75" s="11">
        <v>45661</v>
      </c>
      <c r="H75" t="s">
        <v>27</v>
      </c>
      <c r="I75" t="s">
        <v>18</v>
      </c>
      <c r="J75">
        <v>5</v>
      </c>
      <c r="K75" t="s">
        <v>19</v>
      </c>
      <c r="L75" t="s">
        <v>72</v>
      </c>
      <c r="M75">
        <v>1</v>
      </c>
      <c r="N75">
        <v>1</v>
      </c>
      <c r="O75" t="s">
        <v>2533</v>
      </c>
    </row>
    <row r="76" spans="1:15">
      <c r="A76" t="s">
        <v>139</v>
      </c>
      <c r="B76" t="s">
        <v>46</v>
      </c>
      <c r="C76">
        <v>2</v>
      </c>
      <c r="D76">
        <v>48.4</v>
      </c>
      <c r="E76">
        <v>96.8</v>
      </c>
      <c r="F76" s="11">
        <v>45660</v>
      </c>
      <c r="G76" s="11">
        <v>45663</v>
      </c>
      <c r="H76" t="s">
        <v>23</v>
      </c>
      <c r="I76" t="s">
        <v>35</v>
      </c>
      <c r="J76">
        <v>4</v>
      </c>
      <c r="K76" t="s">
        <v>19</v>
      </c>
      <c r="L76" t="s">
        <v>72</v>
      </c>
      <c r="M76">
        <v>3</v>
      </c>
      <c r="N76">
        <v>1</v>
      </c>
      <c r="O76" t="s">
        <v>2532</v>
      </c>
    </row>
    <row r="77" spans="1:15">
      <c r="A77" t="s">
        <v>140</v>
      </c>
      <c r="B77" t="s">
        <v>69</v>
      </c>
      <c r="C77">
        <v>4</v>
      </c>
      <c r="D77">
        <v>44.4</v>
      </c>
      <c r="E77">
        <v>177.6</v>
      </c>
      <c r="F77" s="11">
        <v>45660</v>
      </c>
      <c r="G77" s="11">
        <v>45661</v>
      </c>
      <c r="H77" t="s">
        <v>89</v>
      </c>
      <c r="I77" t="s">
        <v>35</v>
      </c>
      <c r="J77">
        <v>3</v>
      </c>
      <c r="K77" t="s">
        <v>19</v>
      </c>
      <c r="L77" t="s">
        <v>77</v>
      </c>
      <c r="M77">
        <v>1</v>
      </c>
      <c r="N77">
        <v>1</v>
      </c>
      <c r="O77" t="s">
        <v>2534</v>
      </c>
    </row>
    <row r="78" spans="1:15">
      <c r="A78" t="s">
        <v>141</v>
      </c>
      <c r="B78" t="s">
        <v>26</v>
      </c>
      <c r="C78">
        <v>8</v>
      </c>
      <c r="D78">
        <v>103.7</v>
      </c>
      <c r="E78">
        <v>829.6</v>
      </c>
      <c r="F78" s="11">
        <v>45660</v>
      </c>
      <c r="G78" s="11">
        <v>45661</v>
      </c>
      <c r="H78" t="s">
        <v>27</v>
      </c>
      <c r="I78" t="s">
        <v>18</v>
      </c>
      <c r="J78">
        <v>3</v>
      </c>
      <c r="K78" t="s">
        <v>19</v>
      </c>
      <c r="L78" t="s">
        <v>110</v>
      </c>
      <c r="M78">
        <v>1</v>
      </c>
      <c r="N78">
        <v>1</v>
      </c>
      <c r="O78" t="s">
        <v>2533</v>
      </c>
    </row>
    <row r="79" spans="1:15">
      <c r="A79" t="s">
        <v>142</v>
      </c>
      <c r="B79" t="s">
        <v>37</v>
      </c>
      <c r="C79">
        <v>4</v>
      </c>
      <c r="D79">
        <v>58.6</v>
      </c>
      <c r="E79">
        <v>234.4</v>
      </c>
      <c r="F79" s="11">
        <v>45660</v>
      </c>
      <c r="G79" s="11">
        <v>45662</v>
      </c>
      <c r="H79" t="s">
        <v>23</v>
      </c>
      <c r="I79" t="s">
        <v>51</v>
      </c>
      <c r="J79">
        <v>4</v>
      </c>
      <c r="K79" t="s">
        <v>19</v>
      </c>
      <c r="L79" t="s">
        <v>110</v>
      </c>
      <c r="M79">
        <v>2</v>
      </c>
      <c r="N79">
        <v>1</v>
      </c>
      <c r="O79" t="s">
        <v>2532</v>
      </c>
    </row>
    <row r="80" spans="1:15">
      <c r="A80" t="s">
        <v>143</v>
      </c>
      <c r="B80" t="s">
        <v>46</v>
      </c>
      <c r="C80">
        <v>4</v>
      </c>
      <c r="D80">
        <v>54.8</v>
      </c>
      <c r="E80">
        <v>219.2</v>
      </c>
      <c r="F80" s="11">
        <v>45660</v>
      </c>
      <c r="G80" s="11">
        <v>45664</v>
      </c>
      <c r="H80" t="s">
        <v>27</v>
      </c>
      <c r="I80" t="s">
        <v>40</v>
      </c>
      <c r="J80">
        <v>3</v>
      </c>
      <c r="K80" t="s">
        <v>19</v>
      </c>
      <c r="L80" t="s">
        <v>82</v>
      </c>
      <c r="M80">
        <v>4</v>
      </c>
      <c r="N80">
        <v>1</v>
      </c>
      <c r="O80" t="s">
        <v>2533</v>
      </c>
    </row>
    <row r="81" spans="1:15">
      <c r="A81" t="s">
        <v>144</v>
      </c>
      <c r="B81" t="s">
        <v>69</v>
      </c>
      <c r="C81">
        <v>3</v>
      </c>
      <c r="D81">
        <v>78.8</v>
      </c>
      <c r="E81">
        <v>236.39999999999998</v>
      </c>
      <c r="F81" s="11">
        <v>45660</v>
      </c>
      <c r="G81" s="11">
        <v>45666</v>
      </c>
      <c r="H81" t="s">
        <v>27</v>
      </c>
      <c r="I81" t="s">
        <v>70</v>
      </c>
      <c r="J81">
        <v>3</v>
      </c>
      <c r="K81" t="s">
        <v>19</v>
      </c>
      <c r="L81" t="s">
        <v>115</v>
      </c>
      <c r="M81">
        <v>6</v>
      </c>
      <c r="N81">
        <v>1</v>
      </c>
      <c r="O81" t="s">
        <v>2533</v>
      </c>
    </row>
    <row r="82" spans="1:15">
      <c r="A82" t="s">
        <v>145</v>
      </c>
      <c r="B82" t="s">
        <v>146</v>
      </c>
      <c r="C82">
        <v>5</v>
      </c>
      <c r="D82">
        <v>36.799999999999997</v>
      </c>
      <c r="E82">
        <v>184</v>
      </c>
      <c r="F82" s="11">
        <v>45660</v>
      </c>
      <c r="G82" s="11">
        <v>45663</v>
      </c>
      <c r="H82" t="s">
        <v>23</v>
      </c>
      <c r="I82" t="s">
        <v>70</v>
      </c>
      <c r="J82">
        <v>3</v>
      </c>
      <c r="K82" t="s">
        <v>19</v>
      </c>
      <c r="L82" t="s">
        <v>147</v>
      </c>
      <c r="M82">
        <v>3</v>
      </c>
      <c r="N82">
        <v>1</v>
      </c>
      <c r="O82" t="s">
        <v>2532</v>
      </c>
    </row>
    <row r="83" spans="1:15">
      <c r="A83" t="s">
        <v>148</v>
      </c>
      <c r="B83" t="s">
        <v>39</v>
      </c>
      <c r="C83">
        <v>6</v>
      </c>
      <c r="D83">
        <v>50.6</v>
      </c>
      <c r="E83">
        <v>303.60000000000002</v>
      </c>
      <c r="F83" s="11">
        <v>45660</v>
      </c>
      <c r="G83" s="11">
        <v>45662</v>
      </c>
      <c r="H83" t="s">
        <v>27</v>
      </c>
      <c r="I83" t="s">
        <v>51</v>
      </c>
      <c r="J83">
        <v>4</v>
      </c>
      <c r="K83" t="s">
        <v>19</v>
      </c>
      <c r="L83" t="s">
        <v>33</v>
      </c>
      <c r="M83">
        <v>2</v>
      </c>
      <c r="N83">
        <v>1</v>
      </c>
      <c r="O83" t="s">
        <v>2533</v>
      </c>
    </row>
    <row r="84" spans="1:15">
      <c r="A84" t="s">
        <v>149</v>
      </c>
      <c r="B84" t="s">
        <v>123</v>
      </c>
      <c r="C84">
        <v>3</v>
      </c>
      <c r="D84">
        <v>36.799999999999997</v>
      </c>
      <c r="E84">
        <v>110.39999999999999</v>
      </c>
      <c r="F84" s="11">
        <v>45660</v>
      </c>
      <c r="G84" s="11">
        <v>45660</v>
      </c>
      <c r="H84" t="s">
        <v>23</v>
      </c>
      <c r="I84" t="s">
        <v>40</v>
      </c>
      <c r="J84">
        <v>3</v>
      </c>
      <c r="K84" t="s">
        <v>19</v>
      </c>
      <c r="L84" t="s">
        <v>33</v>
      </c>
      <c r="M84">
        <v>0</v>
      </c>
      <c r="N84">
        <v>1</v>
      </c>
      <c r="O84" t="s">
        <v>2532</v>
      </c>
    </row>
    <row r="85" spans="1:15">
      <c r="A85" t="s">
        <v>150</v>
      </c>
      <c r="B85" t="s">
        <v>44</v>
      </c>
      <c r="C85">
        <v>9</v>
      </c>
      <c r="D85">
        <v>41.8</v>
      </c>
      <c r="E85">
        <v>376.2</v>
      </c>
      <c r="F85" s="11">
        <v>45661</v>
      </c>
      <c r="G85" s="11">
        <v>45667</v>
      </c>
      <c r="H85" t="s">
        <v>27</v>
      </c>
      <c r="I85" t="s">
        <v>51</v>
      </c>
      <c r="J85">
        <v>4</v>
      </c>
      <c r="K85" t="s">
        <v>19</v>
      </c>
      <c r="L85" t="s">
        <v>33</v>
      </c>
      <c r="M85">
        <v>6</v>
      </c>
      <c r="N85">
        <v>1</v>
      </c>
      <c r="O85" t="s">
        <v>2533</v>
      </c>
    </row>
    <row r="86" spans="1:15">
      <c r="A86" t="s">
        <v>151</v>
      </c>
      <c r="B86" t="s">
        <v>146</v>
      </c>
      <c r="C86">
        <v>1</v>
      </c>
      <c r="D86">
        <v>77.3</v>
      </c>
      <c r="E86">
        <v>77.3</v>
      </c>
      <c r="F86" s="11">
        <v>45661</v>
      </c>
      <c r="G86" s="11">
        <v>45662</v>
      </c>
      <c r="H86" t="s">
        <v>23</v>
      </c>
      <c r="I86" t="s">
        <v>70</v>
      </c>
      <c r="J86">
        <v>2</v>
      </c>
      <c r="K86" t="s">
        <v>19</v>
      </c>
      <c r="L86" t="s">
        <v>33</v>
      </c>
      <c r="M86">
        <v>1</v>
      </c>
      <c r="N86">
        <v>1</v>
      </c>
      <c r="O86" t="s">
        <v>2532</v>
      </c>
    </row>
    <row r="87" spans="1:15">
      <c r="A87" t="s">
        <v>152</v>
      </c>
      <c r="B87" t="s">
        <v>44</v>
      </c>
      <c r="C87">
        <v>4</v>
      </c>
      <c r="D87">
        <v>19.8</v>
      </c>
      <c r="E87">
        <v>79.2</v>
      </c>
      <c r="F87" s="11">
        <v>45661</v>
      </c>
      <c r="G87" s="11">
        <v>45667</v>
      </c>
      <c r="H87" t="s">
        <v>23</v>
      </c>
      <c r="I87" t="s">
        <v>35</v>
      </c>
      <c r="J87">
        <v>5</v>
      </c>
      <c r="K87" t="s">
        <v>19</v>
      </c>
      <c r="L87" t="s">
        <v>33</v>
      </c>
      <c r="M87">
        <v>6</v>
      </c>
      <c r="N87">
        <v>1</v>
      </c>
      <c r="O87" t="s">
        <v>2532</v>
      </c>
    </row>
    <row r="88" spans="1:15">
      <c r="A88" t="s">
        <v>153</v>
      </c>
      <c r="B88" t="s">
        <v>76</v>
      </c>
      <c r="C88">
        <v>4</v>
      </c>
      <c r="D88">
        <v>15.5</v>
      </c>
      <c r="E88">
        <v>62</v>
      </c>
      <c r="F88" s="11">
        <v>45661</v>
      </c>
      <c r="G88" s="11">
        <v>45662</v>
      </c>
      <c r="H88" t="s">
        <v>27</v>
      </c>
      <c r="I88" t="s">
        <v>35</v>
      </c>
      <c r="J88">
        <v>5</v>
      </c>
      <c r="K88" t="s">
        <v>19</v>
      </c>
      <c r="L88" t="s">
        <v>33</v>
      </c>
      <c r="M88">
        <v>1</v>
      </c>
      <c r="N88">
        <v>1</v>
      </c>
      <c r="O88" t="s">
        <v>2533</v>
      </c>
    </row>
    <row r="89" spans="1:15">
      <c r="A89" t="s">
        <v>154</v>
      </c>
      <c r="B89" t="s">
        <v>69</v>
      </c>
      <c r="C89">
        <v>1</v>
      </c>
      <c r="D89">
        <v>46.8</v>
      </c>
      <c r="E89">
        <v>46.8</v>
      </c>
      <c r="F89" s="11">
        <v>45661</v>
      </c>
      <c r="G89" s="11">
        <v>45665</v>
      </c>
      <c r="H89" t="s">
        <v>23</v>
      </c>
      <c r="I89" t="s">
        <v>18</v>
      </c>
      <c r="J89">
        <v>5</v>
      </c>
      <c r="K89" t="s">
        <v>19</v>
      </c>
      <c r="L89" t="s">
        <v>33</v>
      </c>
      <c r="M89">
        <v>4</v>
      </c>
      <c r="N89">
        <v>1</v>
      </c>
      <c r="O89" t="s">
        <v>2532</v>
      </c>
    </row>
    <row r="90" spans="1:15">
      <c r="A90" t="s">
        <v>155</v>
      </c>
      <c r="B90" t="s">
        <v>46</v>
      </c>
      <c r="C90">
        <v>9</v>
      </c>
      <c r="D90">
        <v>28.6</v>
      </c>
      <c r="E90">
        <v>257.40000000000003</v>
      </c>
      <c r="F90" s="11">
        <v>45661</v>
      </c>
      <c r="G90" s="11">
        <v>45665</v>
      </c>
      <c r="H90" t="s">
        <v>23</v>
      </c>
      <c r="I90" t="s">
        <v>18</v>
      </c>
      <c r="J90">
        <v>5</v>
      </c>
      <c r="K90" t="s">
        <v>19</v>
      </c>
      <c r="L90" t="s">
        <v>33</v>
      </c>
      <c r="M90">
        <v>4</v>
      </c>
      <c r="N90">
        <v>1</v>
      </c>
      <c r="O90" t="s">
        <v>2532</v>
      </c>
    </row>
    <row r="91" spans="1:15">
      <c r="A91" t="s">
        <v>156</v>
      </c>
      <c r="B91" t="s">
        <v>26</v>
      </c>
      <c r="C91">
        <v>1</v>
      </c>
      <c r="D91">
        <v>97.7</v>
      </c>
      <c r="E91">
        <v>97.7</v>
      </c>
      <c r="F91" s="11">
        <v>45661</v>
      </c>
      <c r="G91" s="11">
        <v>45664</v>
      </c>
      <c r="H91" t="s">
        <v>27</v>
      </c>
      <c r="I91" t="s">
        <v>35</v>
      </c>
      <c r="J91">
        <v>4</v>
      </c>
      <c r="K91" t="s">
        <v>19</v>
      </c>
      <c r="L91" t="s">
        <v>33</v>
      </c>
      <c r="M91">
        <v>3</v>
      </c>
      <c r="N91">
        <v>1</v>
      </c>
      <c r="O91" t="s">
        <v>2533</v>
      </c>
    </row>
    <row r="92" spans="1:15">
      <c r="A92" t="s">
        <v>157</v>
      </c>
      <c r="B92" t="s">
        <v>46</v>
      </c>
      <c r="C92">
        <v>5</v>
      </c>
      <c r="D92">
        <v>54.7</v>
      </c>
      <c r="E92">
        <v>273.5</v>
      </c>
      <c r="F92" s="11">
        <v>45661</v>
      </c>
      <c r="G92" s="11">
        <v>45664</v>
      </c>
      <c r="H92" t="s">
        <v>17</v>
      </c>
      <c r="I92" t="s">
        <v>18</v>
      </c>
      <c r="J92">
        <v>5</v>
      </c>
      <c r="K92" t="s">
        <v>19</v>
      </c>
      <c r="L92" t="s">
        <v>158</v>
      </c>
      <c r="M92">
        <v>3</v>
      </c>
      <c r="N92">
        <v>1</v>
      </c>
      <c r="O92" t="s">
        <v>2531</v>
      </c>
    </row>
    <row r="93" spans="1:15">
      <c r="A93" t="s">
        <v>159</v>
      </c>
      <c r="B93" t="s">
        <v>26</v>
      </c>
      <c r="C93">
        <v>6</v>
      </c>
      <c r="D93">
        <v>130.5</v>
      </c>
      <c r="E93">
        <v>783</v>
      </c>
      <c r="F93" s="11">
        <v>45661</v>
      </c>
      <c r="G93" s="11">
        <v>45663</v>
      </c>
      <c r="H93" t="s">
        <v>27</v>
      </c>
      <c r="I93" t="s">
        <v>18</v>
      </c>
      <c r="J93">
        <v>3</v>
      </c>
      <c r="K93" t="s">
        <v>19</v>
      </c>
      <c r="L93" t="s">
        <v>158</v>
      </c>
      <c r="M93">
        <v>2</v>
      </c>
      <c r="N93">
        <v>1</v>
      </c>
      <c r="O93" t="s">
        <v>2533</v>
      </c>
    </row>
    <row r="94" spans="1:15">
      <c r="A94" t="s">
        <v>160</v>
      </c>
      <c r="B94" t="s">
        <v>67</v>
      </c>
      <c r="C94">
        <v>2</v>
      </c>
      <c r="D94">
        <v>50.4</v>
      </c>
      <c r="E94">
        <v>100.8</v>
      </c>
      <c r="F94" s="11">
        <v>45661</v>
      </c>
      <c r="G94" s="11">
        <v>45663</v>
      </c>
      <c r="H94" t="s">
        <v>23</v>
      </c>
      <c r="I94" t="s">
        <v>40</v>
      </c>
      <c r="J94">
        <v>5</v>
      </c>
      <c r="K94" t="s">
        <v>19</v>
      </c>
      <c r="L94" t="s">
        <v>55</v>
      </c>
      <c r="M94">
        <v>2</v>
      </c>
      <c r="N94">
        <v>1</v>
      </c>
      <c r="O94" t="s">
        <v>2532</v>
      </c>
    </row>
    <row r="95" spans="1:15">
      <c r="A95" t="s">
        <v>161</v>
      </c>
      <c r="B95" t="s">
        <v>39</v>
      </c>
      <c r="C95">
        <v>13</v>
      </c>
      <c r="D95">
        <v>61.5</v>
      </c>
      <c r="E95">
        <v>799.5</v>
      </c>
      <c r="F95" s="11">
        <v>45661</v>
      </c>
      <c r="G95" s="11">
        <v>45662</v>
      </c>
      <c r="H95" t="s">
        <v>17</v>
      </c>
      <c r="I95" t="s">
        <v>51</v>
      </c>
      <c r="J95">
        <v>3</v>
      </c>
      <c r="K95" t="s">
        <v>19</v>
      </c>
      <c r="L95" t="s">
        <v>77</v>
      </c>
      <c r="M95">
        <v>1</v>
      </c>
      <c r="N95">
        <v>1</v>
      </c>
      <c r="O95" t="s">
        <v>2531</v>
      </c>
    </row>
    <row r="96" spans="1:15">
      <c r="A96" t="s">
        <v>162</v>
      </c>
      <c r="B96" t="s">
        <v>46</v>
      </c>
      <c r="C96">
        <v>4</v>
      </c>
      <c r="D96">
        <v>30.1</v>
      </c>
      <c r="E96">
        <v>120.4</v>
      </c>
      <c r="F96" s="11">
        <v>45661</v>
      </c>
      <c r="G96" s="11">
        <v>45662</v>
      </c>
      <c r="H96" t="s">
        <v>27</v>
      </c>
      <c r="I96" t="s">
        <v>18</v>
      </c>
      <c r="J96">
        <v>5</v>
      </c>
      <c r="K96" t="s">
        <v>19</v>
      </c>
      <c r="L96" t="s">
        <v>115</v>
      </c>
      <c r="M96">
        <v>1</v>
      </c>
      <c r="N96">
        <v>1</v>
      </c>
      <c r="O96" t="s">
        <v>2533</v>
      </c>
    </row>
    <row r="97" spans="1:15">
      <c r="A97" t="s">
        <v>163</v>
      </c>
      <c r="B97" t="s">
        <v>26</v>
      </c>
      <c r="C97">
        <v>5</v>
      </c>
      <c r="D97">
        <v>74.8</v>
      </c>
      <c r="E97">
        <v>374</v>
      </c>
      <c r="F97" s="11">
        <v>45661</v>
      </c>
      <c r="G97" s="11">
        <v>45662</v>
      </c>
      <c r="H97" t="s">
        <v>27</v>
      </c>
      <c r="I97" t="s">
        <v>35</v>
      </c>
      <c r="J97">
        <v>4</v>
      </c>
      <c r="K97" t="s">
        <v>19</v>
      </c>
      <c r="L97" t="s">
        <v>24</v>
      </c>
      <c r="M97">
        <v>1</v>
      </c>
      <c r="N97">
        <v>1</v>
      </c>
      <c r="O97" t="s">
        <v>2533</v>
      </c>
    </row>
    <row r="98" spans="1:15">
      <c r="A98" t="s">
        <v>164</v>
      </c>
      <c r="B98" t="s">
        <v>128</v>
      </c>
      <c r="C98">
        <v>3</v>
      </c>
      <c r="D98">
        <v>64.900000000000006</v>
      </c>
      <c r="E98">
        <v>194.70000000000002</v>
      </c>
      <c r="F98" s="11">
        <v>45661</v>
      </c>
      <c r="G98" s="11">
        <v>45668</v>
      </c>
      <c r="H98" t="s">
        <v>23</v>
      </c>
      <c r="I98" t="s">
        <v>18</v>
      </c>
      <c r="J98">
        <v>4</v>
      </c>
      <c r="K98" t="s">
        <v>19</v>
      </c>
      <c r="L98" t="s">
        <v>28</v>
      </c>
      <c r="M98">
        <v>7</v>
      </c>
      <c r="N98">
        <v>1</v>
      </c>
      <c r="O98" t="s">
        <v>2532</v>
      </c>
    </row>
    <row r="99" spans="1:15">
      <c r="A99" t="s">
        <v>165</v>
      </c>
      <c r="B99" t="s">
        <v>46</v>
      </c>
      <c r="C99">
        <v>2</v>
      </c>
      <c r="D99">
        <v>50.5</v>
      </c>
      <c r="E99">
        <v>101</v>
      </c>
      <c r="F99" s="11">
        <v>45661</v>
      </c>
      <c r="G99" s="11">
        <v>45663</v>
      </c>
      <c r="H99" t="s">
        <v>23</v>
      </c>
      <c r="I99" t="s">
        <v>35</v>
      </c>
      <c r="J99">
        <v>4</v>
      </c>
      <c r="K99" t="s">
        <v>19</v>
      </c>
      <c r="L99" t="s">
        <v>147</v>
      </c>
      <c r="M99">
        <v>2</v>
      </c>
      <c r="N99">
        <v>1</v>
      </c>
      <c r="O99" t="s">
        <v>2532</v>
      </c>
    </row>
    <row r="100" spans="1:15">
      <c r="A100" t="s">
        <v>166</v>
      </c>
      <c r="B100" t="s">
        <v>67</v>
      </c>
      <c r="C100">
        <v>7</v>
      </c>
      <c r="D100">
        <v>63</v>
      </c>
      <c r="E100">
        <v>441</v>
      </c>
      <c r="F100" s="11">
        <v>45661</v>
      </c>
      <c r="G100" s="11">
        <v>45664</v>
      </c>
      <c r="H100" t="s">
        <v>23</v>
      </c>
      <c r="I100" t="s">
        <v>51</v>
      </c>
      <c r="J100">
        <v>5</v>
      </c>
      <c r="K100" t="s">
        <v>19</v>
      </c>
      <c r="L100" t="s">
        <v>33</v>
      </c>
      <c r="M100">
        <v>3</v>
      </c>
      <c r="N100">
        <v>1</v>
      </c>
      <c r="O100" t="s">
        <v>2532</v>
      </c>
    </row>
    <row r="101" spans="1:15">
      <c r="A101" t="s">
        <v>167</v>
      </c>
      <c r="B101" t="s">
        <v>26</v>
      </c>
      <c r="C101">
        <v>3</v>
      </c>
      <c r="D101">
        <v>93.6</v>
      </c>
      <c r="E101">
        <v>280.79999999999995</v>
      </c>
      <c r="F101" s="11">
        <v>45661</v>
      </c>
      <c r="G101" s="11">
        <v>45674</v>
      </c>
      <c r="H101" t="s">
        <v>27</v>
      </c>
      <c r="I101" t="s">
        <v>18</v>
      </c>
      <c r="J101">
        <v>5</v>
      </c>
      <c r="K101" t="s">
        <v>19</v>
      </c>
      <c r="L101" t="s">
        <v>33</v>
      </c>
      <c r="M101">
        <v>13</v>
      </c>
      <c r="N101">
        <v>1</v>
      </c>
      <c r="O101" t="s">
        <v>2533</v>
      </c>
    </row>
    <row r="102" spans="1:15">
      <c r="A102" t="s">
        <v>168</v>
      </c>
      <c r="B102" t="s">
        <v>37</v>
      </c>
      <c r="C102">
        <v>30</v>
      </c>
      <c r="D102">
        <v>41.4</v>
      </c>
      <c r="E102">
        <v>1242</v>
      </c>
      <c r="F102" s="11">
        <v>45661</v>
      </c>
      <c r="G102" s="11">
        <v>45665</v>
      </c>
      <c r="H102" t="s">
        <v>23</v>
      </c>
      <c r="I102" t="s">
        <v>40</v>
      </c>
      <c r="J102">
        <v>5</v>
      </c>
      <c r="K102" t="s">
        <v>19</v>
      </c>
      <c r="L102" t="s">
        <v>33</v>
      </c>
      <c r="M102">
        <v>4</v>
      </c>
      <c r="N102">
        <v>1</v>
      </c>
      <c r="O102" t="s">
        <v>2532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042A-3212-4461-A3D0-76EE0900B3F1}">
  <dimension ref="A2:L86"/>
  <sheetViews>
    <sheetView workbookViewId="0">
      <selection activeCell="A28" sqref="A28"/>
    </sheetView>
  </sheetViews>
  <sheetFormatPr defaultRowHeight="13.8"/>
  <cols>
    <col min="1" max="1" width="13.09765625" bestFit="1" customWidth="1"/>
    <col min="2" max="2" width="15.09765625" bestFit="1" customWidth="1"/>
    <col min="3" max="3" width="14.59765625" bestFit="1" customWidth="1"/>
    <col min="4" max="4" width="18.59765625" bestFit="1" customWidth="1"/>
    <col min="5" max="5" width="24.69921875" bestFit="1" customWidth="1"/>
    <col min="6" max="6" width="23.09765625" bestFit="1" customWidth="1"/>
    <col min="7" max="7" width="20.5" bestFit="1" customWidth="1"/>
    <col min="8" max="8" width="15.3984375" bestFit="1" customWidth="1"/>
    <col min="9" max="9" width="23" bestFit="1" customWidth="1"/>
    <col min="10" max="10" width="12.19921875" bestFit="1" customWidth="1"/>
    <col min="11" max="11" width="20.5" bestFit="1" customWidth="1"/>
  </cols>
  <sheetData>
    <row r="2" spans="1:11">
      <c r="G2" t="s">
        <v>2523</v>
      </c>
    </row>
    <row r="3" spans="1:11">
      <c r="A3" t="s">
        <v>2518</v>
      </c>
      <c r="B3" t="s">
        <v>2519</v>
      </c>
      <c r="C3" t="s">
        <v>2520</v>
      </c>
      <c r="D3" t="s">
        <v>2521</v>
      </c>
      <c r="E3" t="s">
        <v>2522</v>
      </c>
      <c r="G3" s="7" t="s">
        <v>2524</v>
      </c>
      <c r="H3" s="7" t="s">
        <v>2525</v>
      </c>
      <c r="I3" s="7" t="s">
        <v>2526</v>
      </c>
      <c r="J3" s="7" t="s">
        <v>2527</v>
      </c>
      <c r="K3" s="7" t="s">
        <v>2528</v>
      </c>
    </row>
    <row r="4" spans="1:11">
      <c r="A4" s="5">
        <v>2400</v>
      </c>
      <c r="B4" s="5">
        <v>11997</v>
      </c>
      <c r="C4" s="5">
        <v>649019.80000000144</v>
      </c>
      <c r="D4" s="5">
        <v>3.9620833333333332</v>
      </c>
      <c r="E4" s="5">
        <v>2.3424999999999998</v>
      </c>
      <c r="G4" t="str">
        <f>TEXT(A4,"#,##")</f>
        <v>2,400</v>
      </c>
      <c r="H4" t="str">
        <f t="shared" ref="H4:K4" si="0">TEXT(B4,"#,##")</f>
        <v>11,997</v>
      </c>
      <c r="I4" t="str">
        <f>TEXT(C4,"$#,##,.0K")</f>
        <v>$649.0K</v>
      </c>
      <c r="J4" t="str">
        <f>TEXT(D4,"0.0")</f>
        <v>4.0</v>
      </c>
      <c r="K4" t="str">
        <f>TEXT(E4,"0.0")</f>
        <v>2.3</v>
      </c>
    </row>
    <row r="10" spans="1:11">
      <c r="A10" s="8" t="s">
        <v>2529</v>
      </c>
      <c r="B10" t="s">
        <v>2519</v>
      </c>
      <c r="C10" t="s">
        <v>2520</v>
      </c>
    </row>
    <row r="11" spans="1:11">
      <c r="A11" s="9">
        <v>1</v>
      </c>
      <c r="B11" s="5">
        <v>546</v>
      </c>
      <c r="C11" s="10">
        <v>32413.300000000003</v>
      </c>
    </row>
    <row r="12" spans="1:11">
      <c r="A12" s="9">
        <v>2</v>
      </c>
      <c r="B12" s="5">
        <v>905</v>
      </c>
      <c r="C12" s="10">
        <v>49562.999999999993</v>
      </c>
    </row>
    <row r="13" spans="1:11">
      <c r="A13" s="9">
        <v>3</v>
      </c>
      <c r="B13" s="5">
        <v>796</v>
      </c>
      <c r="C13" s="10">
        <v>41700.400000000016</v>
      </c>
    </row>
    <row r="14" spans="1:11">
      <c r="A14" s="9">
        <v>4</v>
      </c>
      <c r="B14" s="5">
        <v>913</v>
      </c>
      <c r="C14" s="10">
        <v>46782.599999999984</v>
      </c>
    </row>
    <row r="15" spans="1:11">
      <c r="A15" s="9">
        <v>5</v>
      </c>
      <c r="B15" s="5">
        <v>844</v>
      </c>
      <c r="C15" s="10">
        <v>42676.100000000006</v>
      </c>
    </row>
    <row r="16" spans="1:11">
      <c r="A16" s="9">
        <v>6</v>
      </c>
      <c r="B16" s="5">
        <v>1202</v>
      </c>
      <c r="C16" s="10">
        <v>62910.7</v>
      </c>
    </row>
    <row r="17" spans="1:12">
      <c r="A17" s="9">
        <v>7</v>
      </c>
      <c r="B17" s="5">
        <v>935</v>
      </c>
      <c r="C17" s="10">
        <v>50332.200000000004</v>
      </c>
    </row>
    <row r="18" spans="1:12">
      <c r="A18" s="9">
        <v>8</v>
      </c>
      <c r="B18" s="5">
        <v>1128</v>
      </c>
      <c r="C18" s="10">
        <v>58760.599999999977</v>
      </c>
    </row>
    <row r="19" spans="1:12">
      <c r="A19" s="9">
        <v>9</v>
      </c>
      <c r="B19" s="5">
        <v>1007</v>
      </c>
      <c r="C19" s="10">
        <v>52017.299999999996</v>
      </c>
    </row>
    <row r="20" spans="1:12">
      <c r="A20" s="9">
        <v>10</v>
      </c>
      <c r="B20" s="5">
        <v>1128</v>
      </c>
      <c r="C20" s="10">
        <v>64915.700000000033</v>
      </c>
    </row>
    <row r="21" spans="1:12">
      <c r="A21" s="9">
        <v>11</v>
      </c>
      <c r="B21" s="5">
        <v>861</v>
      </c>
      <c r="C21" s="10">
        <v>45943.80000000001</v>
      </c>
    </row>
    <row r="22" spans="1:12">
      <c r="A22" s="9">
        <v>12</v>
      </c>
      <c r="B22" s="5">
        <v>944</v>
      </c>
      <c r="C22" s="10">
        <v>55077.900000000031</v>
      </c>
    </row>
    <row r="23" spans="1:12">
      <c r="A23" s="9">
        <v>13</v>
      </c>
      <c r="B23" s="5">
        <v>788</v>
      </c>
      <c r="C23" s="10">
        <v>45926.19999999999</v>
      </c>
    </row>
    <row r="24" spans="1:12">
      <c r="A24" s="9" t="s">
        <v>2530</v>
      </c>
      <c r="B24" s="5">
        <v>11997</v>
      </c>
      <c r="C24" s="10">
        <v>649019.79999999993</v>
      </c>
    </row>
    <row r="26" spans="1:12">
      <c r="A26" s="22" t="s">
        <v>2539</v>
      </c>
    </row>
    <row r="27" spans="1:12">
      <c r="F27" t="s">
        <v>2541</v>
      </c>
      <c r="J27" t="s">
        <v>2542</v>
      </c>
    </row>
    <row r="28" spans="1:12">
      <c r="A28" s="8" t="s">
        <v>10</v>
      </c>
      <c r="B28" s="8" t="s">
        <v>2600</v>
      </c>
      <c r="C28" t="s">
        <v>2519</v>
      </c>
      <c r="D28" t="s">
        <v>2520</v>
      </c>
      <c r="F28" s="25" t="s">
        <v>10</v>
      </c>
      <c r="G28" s="25" t="s">
        <v>11</v>
      </c>
      <c r="H28" s="25" t="s">
        <v>2540</v>
      </c>
      <c r="I28" s="29"/>
      <c r="J28" s="25" t="s">
        <v>10</v>
      </c>
      <c r="K28" s="25" t="s">
        <v>11</v>
      </c>
      <c r="L28" s="25" t="s">
        <v>4</v>
      </c>
    </row>
    <row r="29" spans="1:12">
      <c r="A29" t="s">
        <v>19</v>
      </c>
      <c r="B29" t="s">
        <v>2543</v>
      </c>
      <c r="C29" s="5">
        <v>579</v>
      </c>
      <c r="D29" s="5">
        <v>31884.999999999996</v>
      </c>
      <c r="F29" s="26" t="str" cm="1">
        <f t="array" ref="F29:H86">A29:C86</f>
        <v>California</v>
      </c>
      <c r="G29" t="str">
        <v xml:space="preserve">Alameda  </v>
      </c>
      <c r="H29" s="28">
        <v>579</v>
      </c>
      <c r="I29" s="6"/>
      <c r="J29" s="23" t="s">
        <v>19</v>
      </c>
      <c r="K29" t="s">
        <v>2543</v>
      </c>
      <c r="L29" s="5">
        <v>31884.999999999996</v>
      </c>
    </row>
    <row r="30" spans="1:12">
      <c r="A30" t="s">
        <v>19</v>
      </c>
      <c r="B30" t="s">
        <v>2544</v>
      </c>
      <c r="C30" s="5">
        <v>1</v>
      </c>
      <c r="D30" s="5">
        <v>10.9</v>
      </c>
      <c r="F30" s="26" t="str">
        <v>California</v>
      </c>
      <c r="G30" t="str">
        <v xml:space="preserve">Alpine  </v>
      </c>
      <c r="H30" s="28">
        <v>1</v>
      </c>
      <c r="I30" s="6"/>
      <c r="J30" s="23" t="s">
        <v>19</v>
      </c>
      <c r="K30" t="s">
        <v>2544</v>
      </c>
      <c r="L30" s="5">
        <v>10.9</v>
      </c>
    </row>
    <row r="31" spans="1:12">
      <c r="A31" t="s">
        <v>19</v>
      </c>
      <c r="B31" t="s">
        <v>2545</v>
      </c>
      <c r="C31" s="5">
        <v>9</v>
      </c>
      <c r="D31" s="5">
        <v>800.3</v>
      </c>
      <c r="F31" s="26" t="str">
        <v>California</v>
      </c>
      <c r="G31" t="str">
        <v xml:space="preserve">Amador  </v>
      </c>
      <c r="H31" s="28">
        <v>9</v>
      </c>
      <c r="I31" s="6"/>
      <c r="J31" s="23" t="s">
        <v>19</v>
      </c>
      <c r="K31" t="s">
        <v>2545</v>
      </c>
      <c r="L31" s="5">
        <v>800.3</v>
      </c>
    </row>
    <row r="32" spans="1:12">
      <c r="A32" t="s">
        <v>19</v>
      </c>
      <c r="B32" t="s">
        <v>2546</v>
      </c>
      <c r="C32" s="5">
        <v>35</v>
      </c>
      <c r="D32" s="5">
        <v>1062.5999999999999</v>
      </c>
      <c r="F32" s="26" t="str">
        <v>California</v>
      </c>
      <c r="G32" t="str">
        <v xml:space="preserve">Butte  </v>
      </c>
      <c r="H32" s="28">
        <v>35</v>
      </c>
      <c r="I32" s="6"/>
      <c r="J32" s="23" t="s">
        <v>19</v>
      </c>
      <c r="K32" t="s">
        <v>2546</v>
      </c>
      <c r="L32" s="5">
        <v>1062.5999999999999</v>
      </c>
    </row>
    <row r="33" spans="1:12">
      <c r="A33" t="s">
        <v>19</v>
      </c>
      <c r="B33" t="s">
        <v>2547</v>
      </c>
      <c r="C33" s="5">
        <v>12</v>
      </c>
      <c r="D33" s="5">
        <v>326.20000000000005</v>
      </c>
      <c r="F33" s="26" t="str">
        <v>California</v>
      </c>
      <c r="G33" t="str">
        <v xml:space="preserve">Calaveras  </v>
      </c>
      <c r="H33" s="28">
        <v>12</v>
      </c>
      <c r="I33" s="6"/>
      <c r="J33" s="23" t="s">
        <v>19</v>
      </c>
      <c r="K33" t="s">
        <v>2547</v>
      </c>
      <c r="L33" s="5">
        <v>326.20000000000005</v>
      </c>
    </row>
    <row r="34" spans="1:12">
      <c r="A34" t="s">
        <v>19</v>
      </c>
      <c r="B34" t="s">
        <v>2548</v>
      </c>
      <c r="C34" s="5">
        <v>4</v>
      </c>
      <c r="D34" s="5">
        <v>167.5</v>
      </c>
      <c r="F34" s="26" t="str">
        <v>California</v>
      </c>
      <c r="G34" t="str">
        <v xml:space="preserve">Colusa  </v>
      </c>
      <c r="H34" s="28">
        <v>4</v>
      </c>
      <c r="I34" s="6"/>
      <c r="J34" s="23" t="s">
        <v>19</v>
      </c>
      <c r="K34" t="s">
        <v>2548</v>
      </c>
      <c r="L34" s="5">
        <v>167.5</v>
      </c>
    </row>
    <row r="35" spans="1:12">
      <c r="A35" t="s">
        <v>19</v>
      </c>
      <c r="B35" t="s">
        <v>2549</v>
      </c>
      <c r="C35" s="5">
        <v>341</v>
      </c>
      <c r="D35" s="5">
        <v>16168.7</v>
      </c>
      <c r="F35" s="26" t="str">
        <v>California</v>
      </c>
      <c r="G35" t="str">
        <v xml:space="preserve">Contra Costa  </v>
      </c>
      <c r="H35" s="28">
        <v>341</v>
      </c>
      <c r="I35" s="6"/>
      <c r="J35" s="23" t="s">
        <v>19</v>
      </c>
      <c r="K35" t="s">
        <v>2549</v>
      </c>
      <c r="L35" s="5">
        <v>16168.7</v>
      </c>
    </row>
    <row r="36" spans="1:12">
      <c r="A36" t="s">
        <v>19</v>
      </c>
      <c r="B36" t="s">
        <v>2550</v>
      </c>
      <c r="C36" s="5">
        <v>13</v>
      </c>
      <c r="D36" s="5">
        <v>322.40000000000003</v>
      </c>
      <c r="F36" s="26" t="str">
        <v>California</v>
      </c>
      <c r="G36" t="str">
        <v xml:space="preserve">Del Norte  </v>
      </c>
      <c r="H36" s="28">
        <v>13</v>
      </c>
      <c r="I36" s="6"/>
      <c r="J36" s="23" t="s">
        <v>19</v>
      </c>
      <c r="K36" t="s">
        <v>2550</v>
      </c>
      <c r="L36" s="5">
        <v>322.40000000000003</v>
      </c>
    </row>
    <row r="37" spans="1:12">
      <c r="A37" t="s">
        <v>19</v>
      </c>
      <c r="B37" t="s">
        <v>2551</v>
      </c>
      <c r="C37" s="5">
        <v>31</v>
      </c>
      <c r="D37" s="5">
        <v>2092.8000000000002</v>
      </c>
      <c r="F37" s="26" t="str">
        <v>California</v>
      </c>
      <c r="G37" t="str">
        <v xml:space="preserve">El Dorado  </v>
      </c>
      <c r="H37" s="28">
        <v>31</v>
      </c>
      <c r="I37" s="6"/>
      <c r="J37" s="23" t="s">
        <v>19</v>
      </c>
      <c r="K37" t="s">
        <v>2551</v>
      </c>
      <c r="L37" s="5">
        <v>2092.8000000000002</v>
      </c>
    </row>
    <row r="38" spans="1:12">
      <c r="A38" t="s">
        <v>19</v>
      </c>
      <c r="B38" t="s">
        <v>2552</v>
      </c>
      <c r="C38" s="5">
        <v>279</v>
      </c>
      <c r="D38" s="5">
        <v>12662.500000000002</v>
      </c>
      <c r="F38" s="26" t="str">
        <v>California</v>
      </c>
      <c r="G38" t="str">
        <v xml:space="preserve">Fresno  </v>
      </c>
      <c r="H38" s="28">
        <v>279</v>
      </c>
      <c r="I38" s="6"/>
      <c r="J38" s="23" t="s">
        <v>19</v>
      </c>
      <c r="K38" t="s">
        <v>2552</v>
      </c>
      <c r="L38" s="5">
        <v>12662.500000000002</v>
      </c>
    </row>
    <row r="39" spans="1:12">
      <c r="A39" t="s">
        <v>19</v>
      </c>
      <c r="B39" t="s">
        <v>2553</v>
      </c>
      <c r="C39" s="5">
        <v>9</v>
      </c>
      <c r="D39" s="5">
        <v>343.2</v>
      </c>
      <c r="F39" s="26" t="str">
        <v>California</v>
      </c>
      <c r="G39" t="str">
        <v xml:space="preserve">Glenn  </v>
      </c>
      <c r="H39" s="28">
        <v>9</v>
      </c>
      <c r="I39" s="6"/>
      <c r="J39" s="23" t="s">
        <v>19</v>
      </c>
      <c r="K39" t="s">
        <v>2553</v>
      </c>
      <c r="L39" s="5">
        <v>343.2</v>
      </c>
    </row>
    <row r="40" spans="1:12">
      <c r="A40" t="s">
        <v>19</v>
      </c>
      <c r="B40" t="s">
        <v>2554</v>
      </c>
      <c r="C40" s="5">
        <v>49</v>
      </c>
      <c r="D40" s="5">
        <v>2188.2999999999997</v>
      </c>
      <c r="F40" s="26" t="str">
        <v>California</v>
      </c>
      <c r="G40" t="str">
        <v xml:space="preserve">Humboldt  </v>
      </c>
      <c r="H40" s="28">
        <v>49</v>
      </c>
      <c r="I40" s="6"/>
      <c r="J40" s="23" t="s">
        <v>19</v>
      </c>
      <c r="K40" t="s">
        <v>2554</v>
      </c>
      <c r="L40" s="5">
        <v>2188.2999999999997</v>
      </c>
    </row>
    <row r="41" spans="1:12">
      <c r="A41" t="s">
        <v>19</v>
      </c>
      <c r="B41" t="s">
        <v>2555</v>
      </c>
      <c r="C41" s="5">
        <v>59</v>
      </c>
      <c r="D41" s="5">
        <v>2661.5999999999995</v>
      </c>
      <c r="F41" s="26" t="str">
        <v>California</v>
      </c>
      <c r="G41" t="str">
        <v xml:space="preserve">Imperial  </v>
      </c>
      <c r="H41" s="28">
        <v>59</v>
      </c>
      <c r="I41" s="6"/>
      <c r="J41" s="23" t="s">
        <v>19</v>
      </c>
      <c r="K41" t="s">
        <v>2555</v>
      </c>
      <c r="L41" s="5">
        <v>2661.5999999999995</v>
      </c>
    </row>
    <row r="42" spans="1:12">
      <c r="A42" t="s">
        <v>19</v>
      </c>
      <c r="B42" t="s">
        <v>2556</v>
      </c>
      <c r="C42" s="5">
        <v>8</v>
      </c>
      <c r="D42" s="5">
        <v>887.5</v>
      </c>
      <c r="F42" s="26" t="str">
        <v>California</v>
      </c>
      <c r="G42" t="str">
        <v xml:space="preserve">Inyo  </v>
      </c>
      <c r="H42" s="28">
        <v>8</v>
      </c>
      <c r="I42" s="6"/>
      <c r="J42" s="23" t="s">
        <v>19</v>
      </c>
      <c r="K42" t="s">
        <v>2556</v>
      </c>
      <c r="L42" s="5">
        <v>887.5</v>
      </c>
    </row>
    <row r="43" spans="1:12">
      <c r="A43" t="s">
        <v>19</v>
      </c>
      <c r="B43" t="s">
        <v>2557</v>
      </c>
      <c r="C43" s="5">
        <v>222</v>
      </c>
      <c r="D43" s="5">
        <v>11354.199999999993</v>
      </c>
      <c r="F43" s="26" t="str">
        <v>California</v>
      </c>
      <c r="G43" t="str">
        <v xml:space="preserve">Kern  </v>
      </c>
      <c r="H43" s="28">
        <v>222</v>
      </c>
      <c r="I43" s="6"/>
      <c r="J43" s="23" t="s">
        <v>19</v>
      </c>
      <c r="K43" t="s">
        <v>2557</v>
      </c>
      <c r="L43" s="5">
        <v>11354.199999999993</v>
      </c>
    </row>
    <row r="44" spans="1:12">
      <c r="A44" t="s">
        <v>19</v>
      </c>
      <c r="B44" t="s">
        <v>2558</v>
      </c>
      <c r="C44" s="5">
        <v>36</v>
      </c>
      <c r="D44" s="5">
        <v>1558.4</v>
      </c>
      <c r="F44" s="26" t="str">
        <v>California</v>
      </c>
      <c r="G44" t="str">
        <v xml:space="preserve">Kings  </v>
      </c>
      <c r="H44" s="28">
        <v>36</v>
      </c>
      <c r="I44" s="6"/>
      <c r="J44" s="23" t="s">
        <v>19</v>
      </c>
      <c r="K44" t="s">
        <v>2558</v>
      </c>
      <c r="L44" s="5">
        <v>1558.4</v>
      </c>
    </row>
    <row r="45" spans="1:12">
      <c r="A45" t="s">
        <v>19</v>
      </c>
      <c r="B45" t="s">
        <v>2559</v>
      </c>
      <c r="C45" s="5">
        <v>30</v>
      </c>
      <c r="D45" s="5">
        <v>2223.9</v>
      </c>
      <c r="F45" s="26" t="str">
        <v>California</v>
      </c>
      <c r="G45" t="str">
        <v xml:space="preserve">Lake  </v>
      </c>
      <c r="H45" s="28">
        <v>30</v>
      </c>
      <c r="I45" s="6"/>
      <c r="J45" s="23" t="s">
        <v>19</v>
      </c>
      <c r="K45" t="s">
        <v>2559</v>
      </c>
      <c r="L45" s="5">
        <v>2223.9</v>
      </c>
    </row>
    <row r="46" spans="1:12">
      <c r="A46" t="s">
        <v>19</v>
      </c>
      <c r="B46" t="s">
        <v>2560</v>
      </c>
      <c r="C46" s="5">
        <v>1</v>
      </c>
      <c r="D46" s="5">
        <v>26.2</v>
      </c>
      <c r="F46" s="26" t="str">
        <v>California</v>
      </c>
      <c r="G46" t="str">
        <v xml:space="preserve">Lassen  </v>
      </c>
      <c r="H46" s="28">
        <v>1</v>
      </c>
      <c r="I46" s="6"/>
      <c r="J46" s="23" t="s">
        <v>19</v>
      </c>
      <c r="K46" t="s">
        <v>2560</v>
      </c>
      <c r="L46" s="5">
        <v>26.2</v>
      </c>
    </row>
    <row r="47" spans="1:12">
      <c r="A47" t="s">
        <v>19</v>
      </c>
      <c r="B47" t="s">
        <v>2561</v>
      </c>
      <c r="C47" s="5">
        <v>3991</v>
      </c>
      <c r="D47" s="5">
        <v>215551.19999999981</v>
      </c>
      <c r="F47" s="26" t="str">
        <v>California</v>
      </c>
      <c r="G47" t="str">
        <v xml:space="preserve">Los Angeles  </v>
      </c>
      <c r="H47" s="28">
        <v>3991</v>
      </c>
      <c r="I47" s="6"/>
      <c r="J47" s="23" t="s">
        <v>19</v>
      </c>
      <c r="K47" t="s">
        <v>2561</v>
      </c>
      <c r="L47" s="5">
        <v>215551.19999999981</v>
      </c>
    </row>
    <row r="48" spans="1:12">
      <c r="A48" t="s">
        <v>19</v>
      </c>
      <c r="B48" t="s">
        <v>2562</v>
      </c>
      <c r="C48" s="5">
        <v>45</v>
      </c>
      <c r="D48" s="5">
        <v>2687.3999999999996</v>
      </c>
      <c r="F48" s="26" t="str">
        <v>California</v>
      </c>
      <c r="G48" t="str">
        <v xml:space="preserve">Madera  </v>
      </c>
      <c r="H48" s="28">
        <v>45</v>
      </c>
      <c r="I48" s="6"/>
      <c r="J48" s="23" t="s">
        <v>19</v>
      </c>
      <c r="K48" t="s">
        <v>2562</v>
      </c>
      <c r="L48" s="5">
        <v>2687.3999999999996</v>
      </c>
    </row>
    <row r="49" spans="1:12">
      <c r="A49" t="s">
        <v>19</v>
      </c>
      <c r="B49" t="s">
        <v>2563</v>
      </c>
      <c r="C49" s="5">
        <v>39</v>
      </c>
      <c r="D49" s="5">
        <v>1463.3000000000002</v>
      </c>
      <c r="F49" s="26" t="str">
        <v>California</v>
      </c>
      <c r="G49" t="str">
        <v xml:space="preserve">Marin  </v>
      </c>
      <c r="H49" s="28">
        <v>39</v>
      </c>
      <c r="I49" s="6"/>
      <c r="J49" s="23" t="s">
        <v>19</v>
      </c>
      <c r="K49" t="s">
        <v>2563</v>
      </c>
      <c r="L49" s="5">
        <v>1463.3000000000002</v>
      </c>
    </row>
    <row r="50" spans="1:12">
      <c r="A50" t="s">
        <v>19</v>
      </c>
      <c r="B50" t="s">
        <v>2564</v>
      </c>
      <c r="C50" s="5">
        <v>6</v>
      </c>
      <c r="D50" s="5">
        <v>445.79999999999995</v>
      </c>
      <c r="F50" s="26" t="str">
        <v>California</v>
      </c>
      <c r="G50" t="str">
        <v xml:space="preserve">Mariposa  </v>
      </c>
      <c r="H50" s="28">
        <v>6</v>
      </c>
      <c r="I50" s="6"/>
      <c r="J50" s="23" t="s">
        <v>19</v>
      </c>
      <c r="K50" t="s">
        <v>2564</v>
      </c>
      <c r="L50" s="5">
        <v>445.79999999999995</v>
      </c>
    </row>
    <row r="51" spans="1:12">
      <c r="A51" t="s">
        <v>19</v>
      </c>
      <c r="B51" t="s">
        <v>2565</v>
      </c>
      <c r="C51" s="5">
        <v>9</v>
      </c>
      <c r="D51" s="5">
        <v>273.59999999999997</v>
      </c>
      <c r="F51" s="26" t="str">
        <v>California</v>
      </c>
      <c r="G51" t="str">
        <v xml:space="preserve">Mendocino  </v>
      </c>
      <c r="H51" s="28">
        <v>9</v>
      </c>
      <c r="I51" s="6"/>
      <c r="J51" s="23" t="s">
        <v>19</v>
      </c>
      <c r="K51" t="s">
        <v>2565</v>
      </c>
      <c r="L51" s="5">
        <v>273.59999999999997</v>
      </c>
    </row>
    <row r="52" spans="1:12">
      <c r="A52" t="s">
        <v>19</v>
      </c>
      <c r="B52" t="s">
        <v>2566</v>
      </c>
      <c r="C52" s="5">
        <v>60</v>
      </c>
      <c r="D52" s="5">
        <v>2690.4</v>
      </c>
      <c r="F52" s="26" t="str">
        <v>California</v>
      </c>
      <c r="G52" t="str">
        <v xml:space="preserve">Merced  </v>
      </c>
      <c r="H52" s="28">
        <v>60</v>
      </c>
      <c r="I52" s="6"/>
      <c r="J52" s="23" t="s">
        <v>19</v>
      </c>
      <c r="K52" t="s">
        <v>2566</v>
      </c>
      <c r="L52" s="5">
        <v>2690.4</v>
      </c>
    </row>
    <row r="53" spans="1:12">
      <c r="A53" t="s">
        <v>19</v>
      </c>
      <c r="B53" t="s">
        <v>2567</v>
      </c>
      <c r="C53" s="5">
        <v>2</v>
      </c>
      <c r="D53" s="5">
        <v>28.4</v>
      </c>
      <c r="F53" s="26" t="str">
        <v>California</v>
      </c>
      <c r="G53" t="str">
        <v xml:space="preserve">Modoc  </v>
      </c>
      <c r="H53" s="28">
        <v>2</v>
      </c>
      <c r="I53" s="6"/>
      <c r="J53" s="23" t="s">
        <v>19</v>
      </c>
      <c r="K53" t="s">
        <v>2567</v>
      </c>
      <c r="L53" s="5">
        <v>28.4</v>
      </c>
    </row>
    <row r="54" spans="1:12">
      <c r="A54" t="s">
        <v>19</v>
      </c>
      <c r="B54" t="s">
        <v>2568</v>
      </c>
      <c r="C54" s="5">
        <v>4</v>
      </c>
      <c r="D54" s="5">
        <v>204.8</v>
      </c>
      <c r="F54" s="26" t="str">
        <v>California</v>
      </c>
      <c r="G54" t="str">
        <v xml:space="preserve">Mono  </v>
      </c>
      <c r="H54" s="28">
        <v>4</v>
      </c>
      <c r="I54" s="6"/>
      <c r="J54" s="23" t="s">
        <v>19</v>
      </c>
      <c r="K54" t="s">
        <v>2568</v>
      </c>
      <c r="L54" s="5">
        <v>204.8</v>
      </c>
    </row>
    <row r="55" spans="1:12">
      <c r="A55" t="s">
        <v>19</v>
      </c>
      <c r="B55" t="s">
        <v>2569</v>
      </c>
      <c r="C55" s="5">
        <v>31</v>
      </c>
      <c r="D55" s="5">
        <v>1607.8999999999999</v>
      </c>
      <c r="F55" s="26" t="str">
        <v>California</v>
      </c>
      <c r="G55" t="str">
        <v xml:space="preserve">Monterey  </v>
      </c>
      <c r="H55" s="28">
        <v>31</v>
      </c>
      <c r="I55" s="6"/>
      <c r="J55" s="23" t="s">
        <v>19</v>
      </c>
      <c r="K55" t="s">
        <v>2569</v>
      </c>
      <c r="L55" s="5">
        <v>1607.8999999999999</v>
      </c>
    </row>
    <row r="56" spans="1:12">
      <c r="A56" t="s">
        <v>19</v>
      </c>
      <c r="B56" t="s">
        <v>2570</v>
      </c>
      <c r="C56" s="5">
        <v>88</v>
      </c>
      <c r="D56" s="5">
        <v>6444.9</v>
      </c>
      <c r="F56" s="26" t="str">
        <v>California</v>
      </c>
      <c r="G56" t="str">
        <v xml:space="preserve">Napa  </v>
      </c>
      <c r="H56" s="28">
        <v>88</v>
      </c>
      <c r="I56" s="6"/>
      <c r="J56" s="23" t="s">
        <v>19</v>
      </c>
      <c r="K56" t="s">
        <v>2570</v>
      </c>
      <c r="L56" s="5">
        <v>6444.9</v>
      </c>
    </row>
    <row r="57" spans="1:12">
      <c r="A57" t="s">
        <v>19</v>
      </c>
      <c r="B57" t="s">
        <v>2571</v>
      </c>
      <c r="C57" s="5">
        <v>25</v>
      </c>
      <c r="D57" s="5">
        <v>1809.3</v>
      </c>
      <c r="F57" s="26" t="str">
        <v>California</v>
      </c>
      <c r="G57" t="str">
        <v xml:space="preserve">Nevada  </v>
      </c>
      <c r="H57" s="28">
        <v>25</v>
      </c>
      <c r="I57" s="6"/>
      <c r="J57" s="23" t="s">
        <v>19</v>
      </c>
      <c r="K57" t="s">
        <v>2571</v>
      </c>
      <c r="L57" s="5">
        <v>1809.3</v>
      </c>
    </row>
    <row r="58" spans="1:12">
      <c r="A58" t="s">
        <v>19</v>
      </c>
      <c r="B58" t="s">
        <v>2572</v>
      </c>
      <c r="C58" s="5">
        <v>178</v>
      </c>
      <c r="D58" s="5">
        <v>9680.399999999996</v>
      </c>
      <c r="F58" s="26" t="str">
        <v>California</v>
      </c>
      <c r="G58" t="str">
        <v xml:space="preserve">Orange  </v>
      </c>
      <c r="H58" s="28">
        <v>178</v>
      </c>
      <c r="I58" s="6"/>
      <c r="J58" s="23" t="s">
        <v>19</v>
      </c>
      <c r="K58" t="s">
        <v>2572</v>
      </c>
      <c r="L58" s="5">
        <v>9680.399999999996</v>
      </c>
    </row>
    <row r="59" spans="1:12">
      <c r="A59" t="s">
        <v>19</v>
      </c>
      <c r="B59" t="s">
        <v>2573</v>
      </c>
      <c r="C59" s="5">
        <v>141</v>
      </c>
      <c r="D59" s="5">
        <v>9414.7999999999993</v>
      </c>
      <c r="F59" s="26" t="str">
        <v>California</v>
      </c>
      <c r="G59" t="str">
        <v xml:space="preserve">Placer  </v>
      </c>
      <c r="H59" s="28">
        <v>141</v>
      </c>
      <c r="I59" s="6"/>
      <c r="J59" s="23" t="s">
        <v>19</v>
      </c>
      <c r="K59" t="s">
        <v>2573</v>
      </c>
      <c r="L59" s="5">
        <v>9414.7999999999993</v>
      </c>
    </row>
    <row r="60" spans="1:12">
      <c r="A60" t="s">
        <v>19</v>
      </c>
      <c r="B60" t="s">
        <v>2574</v>
      </c>
      <c r="C60" s="5">
        <v>6</v>
      </c>
      <c r="D60" s="5">
        <v>206.1</v>
      </c>
      <c r="F60" s="26" t="str">
        <v>California</v>
      </c>
      <c r="G60" t="str">
        <v xml:space="preserve">Plumas  </v>
      </c>
      <c r="H60" s="28">
        <v>6</v>
      </c>
      <c r="I60" s="6"/>
      <c r="J60" s="23" t="s">
        <v>19</v>
      </c>
      <c r="K60" t="s">
        <v>2574</v>
      </c>
      <c r="L60" s="5">
        <v>206.1</v>
      </c>
    </row>
    <row r="61" spans="1:12">
      <c r="A61" t="s">
        <v>19</v>
      </c>
      <c r="B61" t="s">
        <v>2575</v>
      </c>
      <c r="C61" s="5">
        <v>178</v>
      </c>
      <c r="D61" s="5">
        <v>7691.3</v>
      </c>
      <c r="F61" s="26" t="str">
        <v>California</v>
      </c>
      <c r="G61" t="str">
        <v xml:space="preserve">Riverside  </v>
      </c>
      <c r="H61" s="28">
        <v>178</v>
      </c>
      <c r="I61" s="6"/>
      <c r="J61" s="23" t="s">
        <v>19</v>
      </c>
      <c r="K61" t="s">
        <v>2575</v>
      </c>
      <c r="L61" s="5">
        <v>7691.3</v>
      </c>
    </row>
    <row r="62" spans="1:12">
      <c r="A62" t="s">
        <v>19</v>
      </c>
      <c r="B62" t="s">
        <v>2576</v>
      </c>
      <c r="C62" s="5">
        <v>699</v>
      </c>
      <c r="D62" s="5">
        <v>37784.900000000016</v>
      </c>
      <c r="F62" s="26" t="str">
        <v>California</v>
      </c>
      <c r="G62" t="str">
        <v xml:space="preserve">Sacramento  </v>
      </c>
      <c r="H62" s="28">
        <v>699</v>
      </c>
      <c r="I62" s="6"/>
      <c r="J62" s="23" t="s">
        <v>19</v>
      </c>
      <c r="K62" t="s">
        <v>2576</v>
      </c>
      <c r="L62" s="5">
        <v>37784.900000000016</v>
      </c>
    </row>
    <row r="63" spans="1:12">
      <c r="A63" t="s">
        <v>19</v>
      </c>
      <c r="B63" t="s">
        <v>2577</v>
      </c>
      <c r="C63" s="5">
        <v>23</v>
      </c>
      <c r="D63" s="5">
        <v>1129.7</v>
      </c>
      <c r="F63" s="26" t="str">
        <v>California</v>
      </c>
      <c r="G63" t="str">
        <v xml:space="preserve">San Benito  </v>
      </c>
      <c r="H63" s="28">
        <v>23</v>
      </c>
      <c r="I63" s="6"/>
      <c r="J63" s="23" t="s">
        <v>19</v>
      </c>
      <c r="K63" t="s">
        <v>2577</v>
      </c>
      <c r="L63" s="5">
        <v>1129.7</v>
      </c>
    </row>
    <row r="64" spans="1:12">
      <c r="A64" t="s">
        <v>19</v>
      </c>
      <c r="B64" t="s">
        <v>2578</v>
      </c>
      <c r="C64" s="5">
        <v>356</v>
      </c>
      <c r="D64" s="5">
        <v>20988.9</v>
      </c>
      <c r="F64" s="26" t="str">
        <v>California</v>
      </c>
      <c r="G64" t="str">
        <v xml:space="preserve">San Bernardino  </v>
      </c>
      <c r="H64" s="28">
        <v>356</v>
      </c>
      <c r="I64" s="6"/>
      <c r="J64" s="23" t="s">
        <v>19</v>
      </c>
      <c r="K64" t="s">
        <v>2578</v>
      </c>
      <c r="L64" s="5">
        <v>20988.9</v>
      </c>
    </row>
    <row r="65" spans="1:12">
      <c r="A65" t="s">
        <v>19</v>
      </c>
      <c r="B65" t="s">
        <v>2579</v>
      </c>
      <c r="C65" s="5">
        <v>1768</v>
      </c>
      <c r="D65" s="5">
        <v>98367.099999999977</v>
      </c>
      <c r="F65" s="26" t="str">
        <v>California</v>
      </c>
      <c r="G65" t="str">
        <v xml:space="preserve">San Diego  </v>
      </c>
      <c r="H65" s="28">
        <v>1768</v>
      </c>
      <c r="I65" s="6"/>
      <c r="J65" s="23" t="s">
        <v>19</v>
      </c>
      <c r="K65" t="s">
        <v>2579</v>
      </c>
      <c r="L65" s="5">
        <v>98367.099999999977</v>
      </c>
    </row>
    <row r="66" spans="1:12">
      <c r="A66" t="s">
        <v>19</v>
      </c>
      <c r="B66" t="s">
        <v>103</v>
      </c>
      <c r="C66" s="5">
        <v>307</v>
      </c>
      <c r="D66" s="5">
        <v>21911.9</v>
      </c>
      <c r="F66" s="26" t="str">
        <v>California</v>
      </c>
      <c r="G66" t="str">
        <v>San Francisco</v>
      </c>
      <c r="H66" s="28">
        <v>307</v>
      </c>
      <c r="I66" s="6"/>
      <c r="J66" s="23" t="s">
        <v>19</v>
      </c>
      <c r="K66" t="s">
        <v>103</v>
      </c>
      <c r="L66" s="5">
        <v>21911.9</v>
      </c>
    </row>
    <row r="67" spans="1:12">
      <c r="A67" t="s">
        <v>19</v>
      </c>
      <c r="B67" t="s">
        <v>2580</v>
      </c>
      <c r="C67" s="5">
        <v>117</v>
      </c>
      <c r="D67" s="5">
        <v>5441.2</v>
      </c>
      <c r="F67" s="26" t="str">
        <v>California</v>
      </c>
      <c r="G67" t="str">
        <v xml:space="preserve">San Joaquin  </v>
      </c>
      <c r="H67" s="28">
        <v>117</v>
      </c>
      <c r="I67" s="6"/>
      <c r="J67" s="23" t="s">
        <v>19</v>
      </c>
      <c r="K67" t="s">
        <v>2580</v>
      </c>
      <c r="L67" s="5">
        <v>5441.2</v>
      </c>
    </row>
    <row r="68" spans="1:12">
      <c r="A68" t="s">
        <v>19</v>
      </c>
      <c r="B68" t="s">
        <v>2581</v>
      </c>
      <c r="C68" s="5">
        <v>13</v>
      </c>
      <c r="D68" s="5">
        <v>392.8</v>
      </c>
      <c r="F68" s="26" t="str">
        <v>California</v>
      </c>
      <c r="G68" t="str">
        <v xml:space="preserve">San Luis Obispo  </v>
      </c>
      <c r="H68" s="28">
        <v>13</v>
      </c>
      <c r="I68" s="6"/>
      <c r="J68" s="23" t="s">
        <v>19</v>
      </c>
      <c r="K68" t="s">
        <v>2581</v>
      </c>
      <c r="L68" s="5">
        <v>392.8</v>
      </c>
    </row>
    <row r="69" spans="1:12">
      <c r="A69" t="s">
        <v>19</v>
      </c>
      <c r="B69" t="s">
        <v>2582</v>
      </c>
      <c r="C69" s="5">
        <v>364</v>
      </c>
      <c r="D69" s="5">
        <v>16172.000000000005</v>
      </c>
      <c r="F69" s="26" t="str">
        <v>California</v>
      </c>
      <c r="G69" t="str">
        <v xml:space="preserve">San Mateo  </v>
      </c>
      <c r="H69" s="28">
        <v>364</v>
      </c>
      <c r="I69" s="6"/>
      <c r="J69" s="23" t="s">
        <v>19</v>
      </c>
      <c r="K69" t="s">
        <v>2582</v>
      </c>
      <c r="L69" s="5">
        <v>16172.000000000005</v>
      </c>
    </row>
    <row r="70" spans="1:12">
      <c r="A70" t="s">
        <v>19</v>
      </c>
      <c r="B70" t="s">
        <v>2583</v>
      </c>
      <c r="C70" s="5">
        <v>95</v>
      </c>
      <c r="D70" s="5">
        <v>4334.9999999999991</v>
      </c>
      <c r="F70" s="26" t="str">
        <v>California</v>
      </c>
      <c r="G70" t="str">
        <v xml:space="preserve">Santa Barbara  </v>
      </c>
      <c r="H70" s="28">
        <v>95</v>
      </c>
      <c r="I70" s="6"/>
      <c r="J70" s="23" t="s">
        <v>19</v>
      </c>
      <c r="K70" t="s">
        <v>2583</v>
      </c>
      <c r="L70" s="5">
        <v>4334.9999999999991</v>
      </c>
    </row>
    <row r="71" spans="1:12">
      <c r="A71" t="s">
        <v>19</v>
      </c>
      <c r="B71" t="s">
        <v>2584</v>
      </c>
      <c r="C71" s="5">
        <v>737</v>
      </c>
      <c r="D71" s="5">
        <v>37449.000000000007</v>
      </c>
      <c r="F71" s="26" t="str">
        <v>California</v>
      </c>
      <c r="G71" t="str">
        <v xml:space="preserve">Santa Clara  </v>
      </c>
      <c r="H71" s="28">
        <v>737</v>
      </c>
      <c r="I71" s="6"/>
      <c r="J71" s="23" t="s">
        <v>19</v>
      </c>
      <c r="K71" t="s">
        <v>2584</v>
      </c>
      <c r="L71" s="5">
        <v>37449.000000000007</v>
      </c>
    </row>
    <row r="72" spans="1:12">
      <c r="A72" t="s">
        <v>19</v>
      </c>
      <c r="B72" t="s">
        <v>2585</v>
      </c>
      <c r="C72" s="5">
        <v>39</v>
      </c>
      <c r="D72" s="5">
        <v>2447.5</v>
      </c>
      <c r="F72" s="26" t="str">
        <v>California</v>
      </c>
      <c r="G72" t="str">
        <v xml:space="preserve">Santa Cruz  </v>
      </c>
      <c r="H72" s="28">
        <v>39</v>
      </c>
      <c r="I72" s="6"/>
      <c r="J72" s="23" t="s">
        <v>19</v>
      </c>
      <c r="K72" t="s">
        <v>2585</v>
      </c>
      <c r="L72" s="5">
        <v>2447.5</v>
      </c>
    </row>
    <row r="73" spans="1:12">
      <c r="A73" t="s">
        <v>19</v>
      </c>
      <c r="B73" t="s">
        <v>2586</v>
      </c>
      <c r="C73" s="5">
        <v>56</v>
      </c>
      <c r="D73" s="5">
        <v>3391.1</v>
      </c>
      <c r="F73" s="26" t="str">
        <v>California</v>
      </c>
      <c r="G73" t="str">
        <v xml:space="preserve">Shasta  </v>
      </c>
      <c r="H73" s="28">
        <v>56</v>
      </c>
      <c r="I73" s="6"/>
      <c r="J73" s="23" t="s">
        <v>19</v>
      </c>
      <c r="K73" t="s">
        <v>2586</v>
      </c>
      <c r="L73" s="5">
        <v>3391.1</v>
      </c>
    </row>
    <row r="74" spans="1:12">
      <c r="A74" t="s">
        <v>19</v>
      </c>
      <c r="B74" t="s">
        <v>2587</v>
      </c>
      <c r="C74" s="5">
        <v>2</v>
      </c>
      <c r="D74" s="5">
        <v>30.8</v>
      </c>
      <c r="F74" s="26" t="str">
        <v>California</v>
      </c>
      <c r="G74" t="str">
        <v xml:space="preserve">Sierra  </v>
      </c>
      <c r="H74" s="28">
        <v>2</v>
      </c>
      <c r="I74" s="6"/>
      <c r="J74" s="23" t="s">
        <v>19</v>
      </c>
      <c r="K74" t="s">
        <v>2587</v>
      </c>
      <c r="L74" s="5">
        <v>30.8</v>
      </c>
    </row>
    <row r="75" spans="1:12">
      <c r="A75" t="s">
        <v>19</v>
      </c>
      <c r="B75" t="s">
        <v>2588</v>
      </c>
      <c r="C75" s="5">
        <v>8</v>
      </c>
      <c r="D75" s="5">
        <v>332.3</v>
      </c>
      <c r="F75" s="26" t="str">
        <v>California</v>
      </c>
      <c r="G75" t="str">
        <v xml:space="preserve">Siskiyou  </v>
      </c>
      <c r="H75" s="28">
        <v>8</v>
      </c>
      <c r="I75" s="6"/>
      <c r="J75" s="23" t="s">
        <v>19</v>
      </c>
      <c r="K75" t="s">
        <v>2588</v>
      </c>
      <c r="L75" s="5">
        <v>332.3</v>
      </c>
    </row>
    <row r="76" spans="1:12">
      <c r="A76" t="s">
        <v>19</v>
      </c>
      <c r="B76" t="s">
        <v>2589</v>
      </c>
      <c r="C76" s="5">
        <v>52</v>
      </c>
      <c r="D76" s="5">
        <v>3175.9999999999995</v>
      </c>
      <c r="F76" s="26" t="str">
        <v>California</v>
      </c>
      <c r="G76" t="str">
        <v xml:space="preserve">Solano  </v>
      </c>
      <c r="H76" s="28">
        <v>52</v>
      </c>
      <c r="I76" s="6"/>
      <c r="J76" s="23" t="s">
        <v>19</v>
      </c>
      <c r="K76" t="s">
        <v>2589</v>
      </c>
      <c r="L76" s="5">
        <v>3175.9999999999995</v>
      </c>
    </row>
    <row r="77" spans="1:12">
      <c r="A77" t="s">
        <v>19</v>
      </c>
      <c r="B77" t="s">
        <v>2590</v>
      </c>
      <c r="C77" s="5">
        <v>295</v>
      </c>
      <c r="D77" s="5">
        <v>20939.600000000002</v>
      </c>
      <c r="F77" s="26" t="str">
        <v>California</v>
      </c>
      <c r="G77" t="str">
        <v xml:space="preserve">Sonoma  </v>
      </c>
      <c r="H77" s="28">
        <v>295</v>
      </c>
      <c r="I77" s="6"/>
      <c r="J77" s="23" t="s">
        <v>19</v>
      </c>
      <c r="K77" t="s">
        <v>2590</v>
      </c>
      <c r="L77" s="5">
        <v>20939.600000000002</v>
      </c>
    </row>
    <row r="78" spans="1:12">
      <c r="A78" t="s">
        <v>19</v>
      </c>
      <c r="B78" t="s">
        <v>2591</v>
      </c>
      <c r="C78" s="5">
        <v>195</v>
      </c>
      <c r="D78" s="5">
        <v>10185.899999999996</v>
      </c>
      <c r="F78" s="26" t="str">
        <v>California</v>
      </c>
      <c r="G78" t="str">
        <v xml:space="preserve">Stanislaus  </v>
      </c>
      <c r="H78" s="28">
        <v>195</v>
      </c>
      <c r="I78" s="6"/>
      <c r="J78" s="23" t="s">
        <v>19</v>
      </c>
      <c r="K78" t="s">
        <v>2591</v>
      </c>
      <c r="L78" s="5">
        <v>10185.899999999996</v>
      </c>
    </row>
    <row r="79" spans="1:12">
      <c r="A79" t="s">
        <v>19</v>
      </c>
      <c r="B79" t="s">
        <v>2592</v>
      </c>
      <c r="C79" s="5">
        <v>20</v>
      </c>
      <c r="D79" s="5">
        <v>958.7</v>
      </c>
      <c r="F79" s="26" t="str">
        <v>California</v>
      </c>
      <c r="G79" t="str">
        <v xml:space="preserve">Sutter  </v>
      </c>
      <c r="H79" s="28">
        <v>20</v>
      </c>
      <c r="I79" s="6"/>
      <c r="J79" s="23" t="s">
        <v>19</v>
      </c>
      <c r="K79" t="s">
        <v>2592</v>
      </c>
      <c r="L79" s="5">
        <v>958.7</v>
      </c>
    </row>
    <row r="80" spans="1:12">
      <c r="A80" t="s">
        <v>19</v>
      </c>
      <c r="B80" t="s">
        <v>2593</v>
      </c>
      <c r="C80" s="5">
        <v>6</v>
      </c>
      <c r="D80" s="5">
        <v>323</v>
      </c>
      <c r="F80" s="26" t="str">
        <v>California</v>
      </c>
      <c r="G80" t="str">
        <v xml:space="preserve">Tehama  </v>
      </c>
      <c r="H80" s="28">
        <v>6</v>
      </c>
      <c r="I80" s="6"/>
      <c r="J80" s="23" t="s">
        <v>19</v>
      </c>
      <c r="K80" t="s">
        <v>2593</v>
      </c>
      <c r="L80" s="5">
        <v>323</v>
      </c>
    </row>
    <row r="81" spans="1:12">
      <c r="A81" t="s">
        <v>19</v>
      </c>
      <c r="B81" t="s">
        <v>2594</v>
      </c>
      <c r="C81" s="5">
        <v>5</v>
      </c>
      <c r="D81" s="5">
        <v>167.70000000000002</v>
      </c>
      <c r="F81" s="26" t="str">
        <v>California</v>
      </c>
      <c r="G81" t="str">
        <v xml:space="preserve">Trinity  </v>
      </c>
      <c r="H81" s="28">
        <v>5</v>
      </c>
      <c r="I81" s="6"/>
      <c r="J81" s="23" t="s">
        <v>19</v>
      </c>
      <c r="K81" t="s">
        <v>2594</v>
      </c>
      <c r="L81" s="5">
        <v>167.70000000000002</v>
      </c>
    </row>
    <row r="82" spans="1:12">
      <c r="A82" t="s">
        <v>19</v>
      </c>
      <c r="B82" t="s">
        <v>2595</v>
      </c>
      <c r="C82" s="5">
        <v>94</v>
      </c>
      <c r="D82" s="5">
        <v>3978.5</v>
      </c>
      <c r="F82" s="26" t="str">
        <v>California</v>
      </c>
      <c r="G82" t="str">
        <v xml:space="preserve">Tulare  </v>
      </c>
      <c r="H82" s="28">
        <v>94</v>
      </c>
      <c r="I82" s="6"/>
      <c r="J82" s="23" t="s">
        <v>19</v>
      </c>
      <c r="K82" t="s">
        <v>2595</v>
      </c>
      <c r="L82" s="5">
        <v>3978.5</v>
      </c>
    </row>
    <row r="83" spans="1:12">
      <c r="A83" t="s">
        <v>19</v>
      </c>
      <c r="B83" t="s">
        <v>2596</v>
      </c>
      <c r="C83" s="5">
        <v>28</v>
      </c>
      <c r="D83" s="5">
        <v>1405</v>
      </c>
      <c r="F83" s="26" t="str">
        <v>California</v>
      </c>
      <c r="G83" t="str">
        <v xml:space="preserve">Tuolumne  </v>
      </c>
      <c r="H83" s="28">
        <v>28</v>
      </c>
      <c r="I83" s="6"/>
      <c r="J83" s="23" t="s">
        <v>19</v>
      </c>
      <c r="K83" t="s">
        <v>2596</v>
      </c>
      <c r="L83" s="5">
        <v>1405</v>
      </c>
    </row>
    <row r="84" spans="1:12">
      <c r="A84" t="s">
        <v>19</v>
      </c>
      <c r="B84" t="s">
        <v>2597</v>
      </c>
      <c r="C84" s="5">
        <v>179</v>
      </c>
      <c r="D84" s="5">
        <v>9869.0999999999985</v>
      </c>
      <c r="F84" s="26" t="str">
        <v>California</v>
      </c>
      <c r="G84" t="str">
        <v xml:space="preserve">Ventura  </v>
      </c>
      <c r="H84" s="28">
        <v>179</v>
      </c>
      <c r="I84" s="6"/>
      <c r="J84" s="23" t="s">
        <v>19</v>
      </c>
      <c r="K84" t="s">
        <v>2597</v>
      </c>
      <c r="L84" s="5">
        <v>9869.0999999999985</v>
      </c>
    </row>
    <row r="85" spans="1:12">
      <c r="A85" t="s">
        <v>19</v>
      </c>
      <c r="B85" t="s">
        <v>2598</v>
      </c>
      <c r="C85" s="5">
        <v>15</v>
      </c>
      <c r="D85" s="5">
        <v>615.29999999999995</v>
      </c>
      <c r="F85" s="26" t="str">
        <v>California</v>
      </c>
      <c r="G85" t="str">
        <v xml:space="preserve">Yolo  </v>
      </c>
      <c r="H85" s="28">
        <v>15</v>
      </c>
      <c r="I85" s="6"/>
      <c r="J85" s="23" t="s">
        <v>19</v>
      </c>
      <c r="K85" t="s">
        <v>2598</v>
      </c>
      <c r="L85" s="5">
        <v>615.29999999999995</v>
      </c>
    </row>
    <row r="86" spans="1:12">
      <c r="A86" t="s">
        <v>19</v>
      </c>
      <c r="B86" t="s">
        <v>2599</v>
      </c>
      <c r="C86" s="5">
        <v>3</v>
      </c>
      <c r="D86" s="5">
        <v>285</v>
      </c>
      <c r="F86" s="27" t="str">
        <v>California</v>
      </c>
      <c r="G86" t="str">
        <v xml:space="preserve">Yuba  </v>
      </c>
      <c r="H86" s="28">
        <v>3</v>
      </c>
      <c r="I86" s="6"/>
      <c r="J86" s="24" t="s">
        <v>19</v>
      </c>
      <c r="K86" t="s">
        <v>2599</v>
      </c>
      <c r="L86" s="5">
        <v>285</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06AC4-7334-46FC-BF49-7007720DEED5}">
  <dimension ref="A2:M10"/>
  <sheetViews>
    <sheetView showGridLines="0" workbookViewId="0">
      <selection activeCell="H4" activeCellId="1" sqref="H9:L9 H4:M8"/>
    </sheetView>
  </sheetViews>
  <sheetFormatPr defaultRowHeight="13.8"/>
  <cols>
    <col min="1" max="1" width="14.59765625" bestFit="1" customWidth="1"/>
    <col min="2" max="2" width="16.09765625" bestFit="1" customWidth="1"/>
    <col min="3" max="3" width="7.09765625" bestFit="1" customWidth="1"/>
    <col min="4" max="4" width="6.09765625" bestFit="1" customWidth="1"/>
    <col min="5" max="5" width="9.09765625" bestFit="1" customWidth="1"/>
    <col min="6" max="6" width="11" bestFit="1" customWidth="1"/>
    <col min="8" max="8" width="11.796875" bestFit="1" customWidth="1"/>
    <col min="13" max="13" width="11" bestFit="1" customWidth="1"/>
  </cols>
  <sheetData>
    <row r="2" spans="1:13">
      <c r="H2" t="s">
        <v>2536</v>
      </c>
    </row>
    <row r="3" spans="1:13" ht="21.6" customHeight="1">
      <c r="A3" s="8" t="s">
        <v>2520</v>
      </c>
      <c r="B3" s="8" t="s">
        <v>2535</v>
      </c>
    </row>
    <row r="4" spans="1:13" ht="22.8" customHeight="1" thickBot="1">
      <c r="A4" s="8" t="s">
        <v>2529</v>
      </c>
      <c r="B4" t="s">
        <v>2533</v>
      </c>
      <c r="C4" t="s">
        <v>2532</v>
      </c>
      <c r="D4" t="s">
        <v>2534</v>
      </c>
      <c r="E4" t="s">
        <v>2531</v>
      </c>
      <c r="F4" t="s">
        <v>2530</v>
      </c>
      <c r="H4" s="17"/>
      <c r="I4" s="20" t="s">
        <v>2533</v>
      </c>
      <c r="J4" s="20" t="s">
        <v>2532</v>
      </c>
      <c r="K4" s="20" t="s">
        <v>2534</v>
      </c>
      <c r="L4" s="20" t="s">
        <v>2531</v>
      </c>
      <c r="M4" s="21" t="s">
        <v>2530</v>
      </c>
    </row>
    <row r="5" spans="1:13" ht="19.8" customHeight="1" thickTop="1" thickBot="1">
      <c r="A5" s="9" t="s">
        <v>18</v>
      </c>
      <c r="B5" s="12">
        <v>0.18961825201634841</v>
      </c>
      <c r="C5" s="12">
        <v>0.12262322351336576</v>
      </c>
      <c r="D5" s="12">
        <v>1.060537752469185E-2</v>
      </c>
      <c r="E5" s="12">
        <v>3.0599220547662797E-2</v>
      </c>
      <c r="F5" s="12">
        <v>0.35344607360206881</v>
      </c>
      <c r="H5" s="18" t="s">
        <v>18</v>
      </c>
      <c r="I5" s="13">
        <v>0.18961825201634841</v>
      </c>
      <c r="J5" s="13">
        <v>0.12262322351336576</v>
      </c>
      <c r="K5" s="13">
        <v>1.060537752469185E-2</v>
      </c>
      <c r="L5" s="13">
        <v>3.0599220547662797E-2</v>
      </c>
      <c r="M5" s="14">
        <v>0.35344607360206881</v>
      </c>
    </row>
    <row r="6" spans="1:13" ht="23.4" customHeight="1" thickTop="1" thickBot="1">
      <c r="A6" s="9" t="s">
        <v>51</v>
      </c>
      <c r="B6" s="12">
        <v>5.0283982091147303E-2</v>
      </c>
      <c r="C6" s="12">
        <v>4.3060781812819873E-2</v>
      </c>
      <c r="D6" s="12">
        <v>1.5320025675641944E-3</v>
      </c>
      <c r="E6" s="12">
        <v>1.7794988689097006E-2</v>
      </c>
      <c r="F6" s="12">
        <v>0.11267175516062837</v>
      </c>
      <c r="H6" s="18" t="s">
        <v>51</v>
      </c>
      <c r="I6" s="13">
        <v>5.0283982091147303E-2</v>
      </c>
      <c r="J6" s="13">
        <v>4.3060781812819873E-2</v>
      </c>
      <c r="K6" s="13">
        <v>1.5320025675641944E-3</v>
      </c>
      <c r="L6" s="13">
        <v>1.7794988689097006E-2</v>
      </c>
      <c r="M6" s="14">
        <v>0.11267175516062837</v>
      </c>
    </row>
    <row r="7" spans="1:13" ht="25.2" customHeight="1" thickTop="1" thickBot="1">
      <c r="A7" s="9" t="s">
        <v>70</v>
      </c>
      <c r="B7" s="12">
        <v>6.3496059750411282E-2</v>
      </c>
      <c r="C7" s="12">
        <v>4.6071629863988765E-2</v>
      </c>
      <c r="D7" s="12">
        <v>2.306247051322625E-3</v>
      </c>
      <c r="E7" s="12">
        <v>3.8927934093844286E-3</v>
      </c>
      <c r="F7" s="12">
        <v>0.11576673007510711</v>
      </c>
      <c r="H7" s="18" t="s">
        <v>70</v>
      </c>
      <c r="I7" s="13">
        <v>6.3496059750411282E-2</v>
      </c>
      <c r="J7" s="13">
        <v>4.6071629863988765E-2</v>
      </c>
      <c r="K7" s="13">
        <v>2.306247051322625E-3</v>
      </c>
      <c r="L7" s="13">
        <v>3.8927934093844286E-3</v>
      </c>
      <c r="M7" s="14">
        <v>0.11576673007510711</v>
      </c>
    </row>
    <row r="8" spans="1:13" ht="25.2" customHeight="1" thickTop="1" thickBot="1">
      <c r="A8" s="9" t="s">
        <v>40</v>
      </c>
      <c r="B8" s="12">
        <v>9.6337892927149532E-2</v>
      </c>
      <c r="C8" s="12">
        <v>6.7920115842382611E-2</v>
      </c>
      <c r="D8" s="12">
        <v>5.4979832664581261E-3</v>
      </c>
      <c r="E8" s="12">
        <v>1.2933041488102518E-2</v>
      </c>
      <c r="F8" s="12">
        <v>0.1826890335240928</v>
      </c>
      <c r="H8" s="18" t="s">
        <v>40</v>
      </c>
      <c r="I8" s="13">
        <v>9.6337892927149532E-2</v>
      </c>
      <c r="J8" s="13">
        <v>6.7920115842382611E-2</v>
      </c>
      <c r="K8" s="13">
        <v>5.4979832664581261E-3</v>
      </c>
      <c r="L8" s="13">
        <v>1.2933041488102518E-2</v>
      </c>
      <c r="M8" s="14">
        <v>0.1826890335240928</v>
      </c>
    </row>
    <row r="9" spans="1:13" ht="28.2" customHeight="1" thickTop="1">
      <c r="A9" s="9" t="s">
        <v>35</v>
      </c>
      <c r="B9" s="12">
        <v>0.12522098709469262</v>
      </c>
      <c r="C9" s="12">
        <v>9.1492740283116228E-2</v>
      </c>
      <c r="D9" s="12">
        <v>6.3042760790965081E-3</v>
      </c>
      <c r="E9" s="12">
        <v>1.2408404181197551E-2</v>
      </c>
      <c r="F9" s="12">
        <v>0.23542640763810288</v>
      </c>
      <c r="H9" s="19" t="s">
        <v>35</v>
      </c>
      <c r="I9" s="15">
        <v>0.12522098709469262</v>
      </c>
      <c r="J9" s="15">
        <v>9.1492740283116228E-2</v>
      </c>
      <c r="K9" s="15">
        <v>6.3042760790965081E-3</v>
      </c>
      <c r="L9" s="15">
        <v>1.2408404181197551E-2</v>
      </c>
      <c r="M9" s="16">
        <v>0.23542640763810288</v>
      </c>
    </row>
    <row r="10" spans="1:13">
      <c r="A10" s="9" t="s">
        <v>2530</v>
      </c>
      <c r="B10" s="12">
        <v>0.52495717387974916</v>
      </c>
      <c r="C10" s="12">
        <v>0.3711684913156732</v>
      </c>
      <c r="D10" s="12">
        <v>2.6245886489133303E-2</v>
      </c>
      <c r="E10" s="12">
        <v>7.7628448315444312E-2</v>
      </c>
      <c r="F10" s="12">
        <v>1</v>
      </c>
    </row>
  </sheetData>
  <conditionalFormatting sqref="I5:M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9DCF-A72D-49EB-B406-54B4D2AD51C0}">
  <dimension ref="A3:K35"/>
  <sheetViews>
    <sheetView workbookViewId="0">
      <selection activeCell="A3" sqref="A3"/>
    </sheetView>
  </sheetViews>
  <sheetFormatPr defaultRowHeight="13.8"/>
  <cols>
    <col min="1" max="1" width="19.19921875" bestFit="1" customWidth="1"/>
    <col min="2" max="2" width="16.09765625" bestFit="1" customWidth="1"/>
    <col min="3" max="3" width="5" bestFit="1" customWidth="1"/>
    <col min="4" max="4" width="5.796875" bestFit="1" customWidth="1"/>
    <col min="5" max="5" width="9.09765625" bestFit="1" customWidth="1"/>
    <col min="6" max="6" width="11" bestFit="1" customWidth="1"/>
    <col min="10" max="10" width="13.09765625" bestFit="1" customWidth="1"/>
    <col min="11" max="11" width="15.09765625" bestFit="1" customWidth="1"/>
    <col min="12" max="13" width="4.8984375" bestFit="1" customWidth="1"/>
    <col min="14" max="14" width="3.8984375" bestFit="1" customWidth="1"/>
    <col min="15" max="15" width="11" bestFit="1" customWidth="1"/>
  </cols>
  <sheetData>
    <row r="3" spans="1:11">
      <c r="A3" s="8" t="s">
        <v>2529</v>
      </c>
      <c r="B3" t="s">
        <v>2518</v>
      </c>
    </row>
    <row r="4" spans="1:11">
      <c r="A4" s="9">
        <v>1</v>
      </c>
      <c r="B4" s="5">
        <v>397</v>
      </c>
    </row>
    <row r="5" spans="1:11">
      <c r="A5" s="9">
        <v>2</v>
      </c>
      <c r="B5" s="5">
        <v>540</v>
      </c>
    </row>
    <row r="6" spans="1:11">
      <c r="A6" s="9">
        <v>3</v>
      </c>
      <c r="B6" s="5">
        <v>375</v>
      </c>
    </row>
    <row r="7" spans="1:11">
      <c r="A7" s="9">
        <v>4</v>
      </c>
      <c r="B7" s="5">
        <v>246</v>
      </c>
    </row>
    <row r="8" spans="1:11">
      <c r="A8" s="9">
        <v>5</v>
      </c>
      <c r="B8" s="5">
        <v>195</v>
      </c>
    </row>
    <row r="9" spans="1:11">
      <c r="A9" s="9" t="s">
        <v>2537</v>
      </c>
      <c r="B9" s="5">
        <v>414</v>
      </c>
    </row>
    <row r="10" spans="1:11">
      <c r="A10" s="9" t="s">
        <v>2538</v>
      </c>
      <c r="B10" s="5">
        <v>233</v>
      </c>
    </row>
    <row r="11" spans="1:11">
      <c r="A11" s="9" t="s">
        <v>2530</v>
      </c>
      <c r="B11" s="5">
        <v>2400</v>
      </c>
    </row>
    <row r="13" spans="1:11">
      <c r="A13" s="8" t="s">
        <v>2519</v>
      </c>
      <c r="B13" s="8" t="s">
        <v>2535</v>
      </c>
      <c r="J13" s="8" t="s">
        <v>2529</v>
      </c>
      <c r="K13" t="s">
        <v>2519</v>
      </c>
    </row>
    <row r="14" spans="1:11">
      <c r="A14" s="8" t="s">
        <v>2529</v>
      </c>
      <c r="B14" t="s">
        <v>2533</v>
      </c>
      <c r="C14" t="s">
        <v>2532</v>
      </c>
      <c r="D14" t="s">
        <v>2534</v>
      </c>
      <c r="E14" t="s">
        <v>2531</v>
      </c>
      <c r="F14" t="s">
        <v>2530</v>
      </c>
      <c r="J14" s="9" t="s">
        <v>2533</v>
      </c>
      <c r="K14" s="5">
        <v>6272</v>
      </c>
    </row>
    <row r="15" spans="1:11">
      <c r="A15" s="9" t="s">
        <v>44</v>
      </c>
      <c r="B15" s="5">
        <v>744</v>
      </c>
      <c r="C15" s="5">
        <v>713</v>
      </c>
      <c r="D15" s="5">
        <v>90</v>
      </c>
      <c r="E15" s="5">
        <v>98</v>
      </c>
      <c r="F15" s="5">
        <v>1645</v>
      </c>
      <c r="J15" s="9" t="s">
        <v>2532</v>
      </c>
      <c r="K15" s="5">
        <v>4672</v>
      </c>
    </row>
    <row r="16" spans="1:11">
      <c r="A16" s="9" t="s">
        <v>39</v>
      </c>
      <c r="B16" s="5">
        <v>716</v>
      </c>
      <c r="C16" s="5">
        <v>598</v>
      </c>
      <c r="D16" s="5">
        <v>18</v>
      </c>
      <c r="E16" s="5">
        <v>214</v>
      </c>
      <c r="F16" s="5">
        <v>1546</v>
      </c>
      <c r="J16" s="9" t="s">
        <v>2534</v>
      </c>
      <c r="K16" s="5">
        <v>317</v>
      </c>
    </row>
    <row r="17" spans="1:11">
      <c r="A17" s="9" t="s">
        <v>26</v>
      </c>
      <c r="B17" s="5">
        <v>627</v>
      </c>
      <c r="C17" s="5">
        <v>393</v>
      </c>
      <c r="D17" s="5">
        <v>29</v>
      </c>
      <c r="E17" s="5">
        <v>137</v>
      </c>
      <c r="F17" s="5">
        <v>1186</v>
      </c>
      <c r="J17" s="9" t="s">
        <v>2531</v>
      </c>
      <c r="K17" s="5">
        <v>736</v>
      </c>
    </row>
    <row r="18" spans="1:11">
      <c r="A18" s="9" t="s">
        <v>22</v>
      </c>
      <c r="B18" s="5">
        <v>568</v>
      </c>
      <c r="C18" s="5">
        <v>306</v>
      </c>
      <c r="D18" s="5">
        <v>22</v>
      </c>
      <c r="E18" s="5">
        <v>16</v>
      </c>
      <c r="F18" s="5">
        <v>912</v>
      </c>
      <c r="J18" s="9" t="s">
        <v>2530</v>
      </c>
      <c r="K18" s="5">
        <v>11997</v>
      </c>
    </row>
    <row r="19" spans="1:11">
      <c r="A19" s="9" t="s">
        <v>54</v>
      </c>
      <c r="B19" s="5">
        <v>482</v>
      </c>
      <c r="C19" s="5">
        <v>295</v>
      </c>
      <c r="D19" s="5">
        <v>8</v>
      </c>
      <c r="E19" s="5">
        <v>22</v>
      </c>
      <c r="F19" s="5">
        <v>807</v>
      </c>
    </row>
    <row r="20" spans="1:11">
      <c r="A20" s="9" t="s">
        <v>16</v>
      </c>
      <c r="B20" s="5">
        <v>428</v>
      </c>
      <c r="C20" s="5">
        <v>293</v>
      </c>
      <c r="D20" s="5"/>
      <c r="E20" s="5">
        <v>24</v>
      </c>
      <c r="F20" s="5">
        <v>745</v>
      </c>
    </row>
    <row r="21" spans="1:11">
      <c r="A21" s="9" t="s">
        <v>46</v>
      </c>
      <c r="B21" s="5">
        <v>445</v>
      </c>
      <c r="C21" s="5">
        <v>202</v>
      </c>
      <c r="D21" s="5">
        <v>14</v>
      </c>
      <c r="E21" s="5">
        <v>39</v>
      </c>
      <c r="F21" s="5">
        <v>700</v>
      </c>
    </row>
    <row r="22" spans="1:11">
      <c r="A22" s="9" t="s">
        <v>32</v>
      </c>
      <c r="B22" s="5">
        <v>431</v>
      </c>
      <c r="C22" s="5">
        <v>187</v>
      </c>
      <c r="D22" s="5">
        <v>14</v>
      </c>
      <c r="E22" s="5">
        <v>15</v>
      </c>
      <c r="F22" s="5">
        <v>647</v>
      </c>
    </row>
    <row r="23" spans="1:11">
      <c r="A23" s="9" t="s">
        <v>42</v>
      </c>
      <c r="B23" s="5">
        <v>264</v>
      </c>
      <c r="C23" s="5">
        <v>318</v>
      </c>
      <c r="D23" s="5">
        <v>15</v>
      </c>
      <c r="E23" s="5">
        <v>9</v>
      </c>
      <c r="F23" s="5">
        <v>606</v>
      </c>
    </row>
    <row r="24" spans="1:11">
      <c r="A24" s="9" t="s">
        <v>37</v>
      </c>
      <c r="B24" s="5">
        <v>296</v>
      </c>
      <c r="C24" s="5">
        <v>275</v>
      </c>
      <c r="D24" s="5">
        <v>9</v>
      </c>
      <c r="E24" s="5">
        <v>23</v>
      </c>
      <c r="F24" s="5">
        <v>603</v>
      </c>
    </row>
    <row r="25" spans="1:11">
      <c r="A25" s="9" t="s">
        <v>123</v>
      </c>
      <c r="B25" s="5">
        <v>153</v>
      </c>
      <c r="C25" s="5">
        <v>246</v>
      </c>
      <c r="D25" s="5">
        <v>30</v>
      </c>
      <c r="E25" s="5">
        <v>8</v>
      </c>
      <c r="F25" s="5">
        <v>437</v>
      </c>
    </row>
    <row r="26" spans="1:11">
      <c r="A26" s="9" t="s">
        <v>146</v>
      </c>
      <c r="B26" s="5">
        <v>189</v>
      </c>
      <c r="C26" s="5">
        <v>168</v>
      </c>
      <c r="D26" s="5">
        <v>10</v>
      </c>
      <c r="E26" s="5">
        <v>31</v>
      </c>
      <c r="F26" s="5">
        <v>398</v>
      </c>
    </row>
    <row r="27" spans="1:11">
      <c r="A27" s="9" t="s">
        <v>69</v>
      </c>
      <c r="B27" s="5">
        <v>234</v>
      </c>
      <c r="C27" s="5">
        <v>93</v>
      </c>
      <c r="D27" s="5">
        <v>19</v>
      </c>
      <c r="E27" s="5">
        <v>24</v>
      </c>
      <c r="F27" s="5">
        <v>370</v>
      </c>
    </row>
    <row r="28" spans="1:11">
      <c r="A28" s="9" t="s">
        <v>30</v>
      </c>
      <c r="B28" s="5">
        <v>146</v>
      </c>
      <c r="C28" s="5">
        <v>94</v>
      </c>
      <c r="D28" s="5">
        <v>4</v>
      </c>
      <c r="E28" s="5">
        <v>28</v>
      </c>
      <c r="F28" s="5">
        <v>272</v>
      </c>
    </row>
    <row r="29" spans="1:11">
      <c r="A29" s="9" t="s">
        <v>135</v>
      </c>
      <c r="B29" s="5">
        <v>127</v>
      </c>
      <c r="C29" s="5">
        <v>118</v>
      </c>
      <c r="D29" s="5">
        <v>13</v>
      </c>
      <c r="E29" s="5">
        <v>12</v>
      </c>
      <c r="F29" s="5">
        <v>270</v>
      </c>
    </row>
    <row r="30" spans="1:11">
      <c r="A30" s="9" t="s">
        <v>67</v>
      </c>
      <c r="B30" s="5">
        <v>179</v>
      </c>
      <c r="C30" s="5">
        <v>76</v>
      </c>
      <c r="D30" s="5">
        <v>3</v>
      </c>
      <c r="E30" s="5"/>
      <c r="F30" s="5">
        <v>258</v>
      </c>
    </row>
    <row r="31" spans="1:11">
      <c r="A31" s="9" t="s">
        <v>128</v>
      </c>
      <c r="B31" s="5">
        <v>99</v>
      </c>
      <c r="C31" s="5">
        <v>69</v>
      </c>
      <c r="D31" s="5">
        <v>3</v>
      </c>
      <c r="E31" s="5">
        <v>24</v>
      </c>
      <c r="F31" s="5">
        <v>195</v>
      </c>
    </row>
    <row r="32" spans="1:11">
      <c r="A32" s="9" t="s">
        <v>76</v>
      </c>
      <c r="B32" s="5">
        <v>75</v>
      </c>
      <c r="C32" s="5">
        <v>103</v>
      </c>
      <c r="D32" s="5">
        <v>4</v>
      </c>
      <c r="E32" s="5">
        <v>6</v>
      </c>
      <c r="F32" s="5">
        <v>188</v>
      </c>
    </row>
    <row r="33" spans="1:6">
      <c r="A33" s="9" t="s">
        <v>81</v>
      </c>
      <c r="B33" s="5">
        <v>43</v>
      </c>
      <c r="C33" s="5">
        <v>90</v>
      </c>
      <c r="D33" s="5">
        <v>8</v>
      </c>
      <c r="E33" s="5">
        <v>6</v>
      </c>
      <c r="F33" s="5">
        <v>147</v>
      </c>
    </row>
    <row r="34" spans="1:6">
      <c r="A34" s="9" t="s">
        <v>171</v>
      </c>
      <c r="B34" s="5">
        <v>26</v>
      </c>
      <c r="C34" s="5">
        <v>35</v>
      </c>
      <c r="D34" s="5">
        <v>4</v>
      </c>
      <c r="E34" s="5"/>
      <c r="F34" s="5">
        <v>65</v>
      </c>
    </row>
    <row r="35" spans="1:6">
      <c r="A35" s="9" t="s">
        <v>2530</v>
      </c>
      <c r="B35" s="5">
        <v>6272</v>
      </c>
      <c r="C35" s="5">
        <v>4672</v>
      </c>
      <c r="D35" s="5">
        <v>317</v>
      </c>
      <c r="E35" s="5">
        <v>736</v>
      </c>
      <c r="F35" s="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E4DC-E83B-4D6D-89E2-33D13DE6379D}">
  <dimension ref="A1:G29"/>
  <sheetViews>
    <sheetView workbookViewId="0">
      <selection activeCell="B25" sqref="B25:B29"/>
      <pivotSelection pane="bottomRight" showHeader="1" extendable="1" axis="axisCol" max="6" activeRow="24" activeCol="1" previousRow="24" previousCol="1" click="1" r:id="rId1">
        <pivotArea dataOnly="0" outline="0" fieldPosition="0">
          <references count="1">
            <reference field="9" count="1">
              <x v="0"/>
            </reference>
          </references>
        </pivotArea>
      </pivotSelection>
    </sheetView>
  </sheetViews>
  <sheetFormatPr defaultRowHeight="13.8"/>
  <cols>
    <col min="1" max="1" width="13.09765625" bestFit="1" customWidth="1"/>
    <col min="2" max="2" width="13.5" bestFit="1" customWidth="1"/>
    <col min="3" max="4" width="3.8984375" bestFit="1" customWidth="1"/>
    <col min="5" max="5" width="4.8984375" bestFit="1" customWidth="1"/>
    <col min="6" max="6" width="3.8984375" bestFit="1" customWidth="1"/>
    <col min="7" max="7" width="11" bestFit="1" customWidth="1"/>
    <col min="8" max="8" width="13.5" bestFit="1" customWidth="1"/>
    <col min="9" max="9" width="19.296875" bestFit="1" customWidth="1"/>
    <col min="10" max="10" width="13.5" bestFit="1" customWidth="1"/>
    <col min="11" max="11" width="19.296875" bestFit="1" customWidth="1"/>
    <col min="12" max="12" width="18.3984375" bestFit="1" customWidth="1"/>
    <col min="13" max="13" width="24.19921875" bestFit="1" customWidth="1"/>
    <col min="14" max="32" width="6.59765625" bestFit="1" customWidth="1"/>
    <col min="33" max="33" width="8.796875" bestFit="1" customWidth="1"/>
    <col min="34" max="34" width="5.8984375" bestFit="1" customWidth="1"/>
    <col min="35" max="42" width="5.796875" bestFit="1" customWidth="1"/>
    <col min="43" max="61" width="6.796875" bestFit="1" customWidth="1"/>
    <col min="62" max="62" width="9" bestFit="1" customWidth="1"/>
    <col min="63" max="63" width="5.796875" bestFit="1" customWidth="1"/>
    <col min="64" max="71" width="5.69921875" bestFit="1" customWidth="1"/>
    <col min="72" max="91" width="6.69921875" bestFit="1" customWidth="1"/>
    <col min="92" max="92" width="8.8984375" bestFit="1" customWidth="1"/>
    <col min="93" max="93" width="11" bestFit="1" customWidth="1"/>
  </cols>
  <sheetData>
    <row r="1" spans="1:3">
      <c r="A1" s="30" t="s">
        <v>2601</v>
      </c>
      <c r="B1" s="30"/>
      <c r="C1" s="30"/>
    </row>
    <row r="3" spans="1:3">
      <c r="A3" s="8" t="s">
        <v>2529</v>
      </c>
      <c r="B3" t="s">
        <v>2518</v>
      </c>
    </row>
    <row r="4" spans="1:3">
      <c r="A4" s="9">
        <v>0</v>
      </c>
      <c r="B4" s="5">
        <v>175</v>
      </c>
    </row>
    <row r="5" spans="1:3">
      <c r="A5" s="9">
        <v>1</v>
      </c>
      <c r="B5" s="5">
        <v>888</v>
      </c>
    </row>
    <row r="6" spans="1:3">
      <c r="A6" s="9">
        <v>2</v>
      </c>
      <c r="B6" s="5">
        <v>538</v>
      </c>
    </row>
    <row r="7" spans="1:3">
      <c r="A7" s="9">
        <v>3</v>
      </c>
      <c r="B7" s="5">
        <v>344</v>
      </c>
    </row>
    <row r="8" spans="1:3">
      <c r="A8" s="9">
        <v>4</v>
      </c>
      <c r="B8" s="5">
        <v>200</v>
      </c>
    </row>
    <row r="9" spans="1:3">
      <c r="A9" s="9">
        <v>5</v>
      </c>
      <c r="B9" s="5">
        <v>94</v>
      </c>
    </row>
    <row r="10" spans="1:3">
      <c r="A10" s="9">
        <v>6</v>
      </c>
      <c r="B10" s="5">
        <v>51</v>
      </c>
    </row>
    <row r="11" spans="1:3">
      <c r="A11" s="9">
        <v>7</v>
      </c>
      <c r="B11" s="5">
        <v>32</v>
      </c>
    </row>
    <row r="12" spans="1:3">
      <c r="A12" s="9">
        <v>8</v>
      </c>
      <c r="B12" s="5">
        <v>23</v>
      </c>
    </row>
    <row r="13" spans="1:3">
      <c r="A13" s="9">
        <v>9</v>
      </c>
      <c r="B13" s="5">
        <v>9</v>
      </c>
    </row>
    <row r="14" spans="1:3">
      <c r="A14" s="9">
        <v>10</v>
      </c>
      <c r="B14" s="5">
        <v>8</v>
      </c>
    </row>
    <row r="15" spans="1:3">
      <c r="A15" s="9">
        <v>11</v>
      </c>
      <c r="B15" s="5">
        <v>11</v>
      </c>
    </row>
    <row r="16" spans="1:3">
      <c r="A16" s="9">
        <v>12</v>
      </c>
      <c r="B16" s="5">
        <v>4</v>
      </c>
    </row>
    <row r="17" spans="1:7">
      <c r="A17" s="9">
        <v>13</v>
      </c>
      <c r="B17" s="5">
        <v>10</v>
      </c>
    </row>
    <row r="18" spans="1:7">
      <c r="A18" s="9">
        <v>14</v>
      </c>
      <c r="B18" s="5">
        <v>13</v>
      </c>
    </row>
    <row r="19" spans="1:7">
      <c r="A19" s="9" t="s">
        <v>2530</v>
      </c>
      <c r="B19" s="5">
        <v>2400</v>
      </c>
    </row>
    <row r="22" spans="1:7">
      <c r="A22" s="30" t="s">
        <v>2602</v>
      </c>
      <c r="B22" s="30"/>
      <c r="C22" s="30"/>
    </row>
    <row r="24" spans="1:7">
      <c r="A24" s="8" t="s">
        <v>2518</v>
      </c>
      <c r="B24" s="8" t="s">
        <v>2535</v>
      </c>
    </row>
    <row r="25" spans="1:7">
      <c r="A25" s="8" t="s">
        <v>2529</v>
      </c>
      <c r="B25">
        <v>1</v>
      </c>
      <c r="C25">
        <v>2</v>
      </c>
      <c r="D25">
        <v>3</v>
      </c>
      <c r="E25">
        <v>4</v>
      </c>
      <c r="F25">
        <v>5</v>
      </c>
      <c r="G25" t="s">
        <v>2530</v>
      </c>
    </row>
    <row r="26" spans="1:7">
      <c r="A26" s="9" t="s">
        <v>2603</v>
      </c>
      <c r="B26" s="5">
        <v>7</v>
      </c>
      <c r="C26" s="5">
        <v>37</v>
      </c>
      <c r="D26" s="5">
        <v>150</v>
      </c>
      <c r="E26" s="5">
        <v>312</v>
      </c>
      <c r="F26" s="5">
        <v>224</v>
      </c>
      <c r="G26" s="5">
        <v>730</v>
      </c>
    </row>
    <row r="27" spans="1:7">
      <c r="A27" s="9" t="s">
        <v>2604</v>
      </c>
      <c r="B27" s="5">
        <v>8</v>
      </c>
      <c r="C27" s="5">
        <v>51</v>
      </c>
      <c r="D27" s="5">
        <v>182</v>
      </c>
      <c r="E27" s="5">
        <v>373</v>
      </c>
      <c r="F27" s="5">
        <v>247</v>
      </c>
      <c r="G27" s="5">
        <v>861</v>
      </c>
    </row>
    <row r="28" spans="1:7">
      <c r="A28" s="9" t="s">
        <v>2605</v>
      </c>
      <c r="B28" s="5">
        <v>6</v>
      </c>
      <c r="C28" s="5">
        <v>39</v>
      </c>
      <c r="D28" s="5">
        <v>163</v>
      </c>
      <c r="E28" s="5">
        <v>351</v>
      </c>
      <c r="F28" s="5">
        <v>250</v>
      </c>
      <c r="G28" s="5">
        <v>809</v>
      </c>
    </row>
    <row r="29" spans="1:7">
      <c r="A29" s="9" t="s">
        <v>2530</v>
      </c>
      <c r="B29" s="5">
        <v>21</v>
      </c>
      <c r="C29" s="5">
        <v>127</v>
      </c>
      <c r="D29" s="5">
        <v>495</v>
      </c>
      <c r="E29" s="5">
        <v>1036</v>
      </c>
      <c r="F29" s="5">
        <v>721</v>
      </c>
      <c r="G29" s="5">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K2" sqref="K2"/>
    </sheetView>
  </sheetViews>
  <sheetFormatPr defaultRowHeight="13.8"/>
  <cols>
    <col min="2" max="2" width="19.09765625" bestFit="1" customWidth="1"/>
    <col min="3" max="3" width="8.09765625" bestFit="1" customWidth="1"/>
    <col min="4" max="4" width="9.09765625" bestFit="1" customWidth="1"/>
    <col min="5" max="5" width="7.3984375" bestFit="1" customWidth="1"/>
    <col min="6" max="6" width="10" bestFit="1" customWidth="1"/>
    <col min="7" max="7" width="9.3984375" bestFit="1" customWidth="1"/>
    <col min="8" max="8" width="15.69921875" bestFit="1" customWidth="1"/>
    <col min="9" max="9" width="10.69921875" bestFit="1" customWidth="1"/>
    <col min="10" max="10" width="7.796875" bestFit="1" customWidth="1"/>
    <col min="11" max="11" width="8.796875" bestFit="1" customWidth="1"/>
    <col min="12" max="12" width="19.69921875" bestFit="1" customWidth="1"/>
    <col min="13" max="13" width="13.296875" bestFit="1" customWidth="1"/>
    <col min="14" max="14" width="9.296875" bestFit="1" customWidth="1"/>
    <col min="15" max="15" width="12.097656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3.8"/>
  <cols>
    <col min="1" max="1" width="3.69921875" customWidth="1"/>
    <col min="2" max="2" width="52.7968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81" zoomScaleNormal="81" workbookViewId="0">
      <selection activeCell="AD28" sqref="AD28"/>
    </sheetView>
  </sheetViews>
  <sheetFormatPr defaultRowHeight="13.8"/>
  <cols>
    <col min="1" max="1" width="3.296875" customWidth="1"/>
    <col min="2" max="2" width="22.19921875" customWidth="1"/>
    <col min="3" max="4" width="3.296875" customWidth="1"/>
    <col min="26" max="26" width="3.29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1</vt:lpstr>
      <vt:lpstr>Pivots</vt:lpstr>
      <vt:lpstr>pivot 3</vt:lpstr>
      <vt:lpstr>Pivot 4</vt:lpstr>
      <vt:lpstr>Pivot 6</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Gauri jha</cp:lastModifiedBy>
  <dcterms:created xsi:type="dcterms:W3CDTF">2025-06-13T02:42:26Z</dcterms:created>
  <dcterms:modified xsi:type="dcterms:W3CDTF">2026-07-14T22:20:53Z</dcterms:modified>
</cp:coreProperties>
</file>